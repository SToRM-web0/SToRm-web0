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oan EMI" sheetId="2" state="visible" r:id="rId4"/>
    <sheet name="SIP Planner" sheetId="3" state="visible" r:id="rId5"/>
    <sheet name="Budget vs Actu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<sst xmlns="http://schemas.openxmlformats.org/spreadsheetml/2006/main" count="112" uniqueCount="94">
  <si>
    <t xml:space="preserve">Excel Financial Planner</t>
  </si>
  <si>
    <t xml:space="preserve">Prepared by Santhosh G Singh  |  MBA (Finance)</t>
  </si>
  <si>
    <t xml:space="preserve">Purpose</t>
  </si>
  <si>
    <t xml:space="preserve">Three small models that show core finance skills: loan amortization, SIP growth and budget control.</t>
  </si>
  <si>
    <t xml:space="preserve">Loan EMI</t>
  </si>
  <si>
    <t xml:space="preserve">Monthly EMI, total interest and a full month-by-month amortization schedule (up to 30 years) with an annual chart.</t>
  </si>
  <si>
    <t xml:space="preserve">SIP Planner</t>
  </si>
  <si>
    <t xml:space="preserve">Year-by-year growth of a monthly investment with an optional yearly step-up, compared with the money invested.</t>
  </si>
  <si>
    <t xml:space="preserve">Budget vs Actuals</t>
  </si>
  <si>
    <t xml:space="preserve">Monthly income and expense tracker with variance in rupees and percent, status flags and a chart.</t>
  </si>
  <si>
    <t xml:space="preserve">How to use (colour legend)</t>
  </si>
  <si>
    <t xml:space="preserve">Blue text</t>
  </si>
  <si>
    <t xml:space="preserve">A hardcoded input or assumption. Change these freely.</t>
  </si>
  <si>
    <t xml:space="preserve">Yellow fill</t>
  </si>
  <si>
    <t xml:space="preserve">A key cell you are expected to fill in (loan amount, rate, tenure, SIP amount, actual spend).</t>
  </si>
  <si>
    <t xml:space="preserve">Black text</t>
  </si>
  <si>
    <t xml:space="preserve">A formula. Do not overwrite; it recalculates automatically.</t>
  </si>
  <si>
    <t xml:space="preserve">Important notes</t>
  </si>
  <si>
    <t xml:space="preserve">•</t>
  </si>
  <si>
    <t xml:space="preserve">All sample figures (loan of ₹25,00,000, SIP of ₹10,000, the household budget) are ILLUSTRATIVE values chosen by the author, not real accounts.</t>
  </si>
  <si>
    <t xml:space="preserve">Currency is Indian rupees (₹). Interest rates are annual and stored as fractions (0.095 = 9.5%).</t>
  </si>
  <si>
    <t xml:space="preserve">Loan EMI uses the standard reducing-balance method: EMI = PMT(monthly rate, months, -loan).</t>
  </si>
  <si>
    <t xml:space="preserve">SIP Planner converts the annual return to an equivalent monthly rate, (1+r)^(1/12)-1, and assumes each month's SIP is invested at the start of the month.</t>
  </si>
  <si>
    <t xml:space="preserve">Investment returns are assumptions, not guarantees. This workbook is for learning and planning, not investment advice.</t>
  </si>
  <si>
    <t xml:space="preserve">Loan EMI and Amortization</t>
  </si>
  <si>
    <t xml:space="preserve">Change the yellow cells. Everything else recalculates.</t>
  </si>
  <si>
    <t xml:space="preserve">Inputs</t>
  </si>
  <si>
    <t xml:space="preserve">Value</t>
  </si>
  <si>
    <t xml:space="preserve">Year</t>
  </si>
  <si>
    <t xml:space="preserve">Interest paid (₹)</t>
  </si>
  <si>
    <t xml:space="preserve">Principal paid (₹)</t>
  </si>
  <si>
    <t xml:space="preserve">Closing balance (₹)</t>
  </si>
  <si>
    <t xml:space="preserve">Loan amount (₹)</t>
  </si>
  <si>
    <t xml:space="preserve">Annual interest rate</t>
  </si>
  <si>
    <t xml:space="preserve">Tenure (years, max 30)</t>
  </si>
  <si>
    <t xml:space="preserve">Results</t>
  </si>
  <si>
    <t xml:space="preserve">Monthly interest rate</t>
  </si>
  <si>
    <t xml:space="preserve">Number of monthly payments</t>
  </si>
  <si>
    <t xml:space="preserve">Monthly EMI (₹)</t>
  </si>
  <si>
    <t xml:space="preserve">Total amount paid (₹)</t>
  </si>
  <si>
    <t xml:space="preserve">Total interest paid (₹)</t>
  </si>
  <si>
    <t xml:space="preserve">Interest as % of total paid</t>
  </si>
  <si>
    <t xml:space="preserve">Example inputs are illustrative. Rate is annual; EMI is payable monthly.</t>
  </si>
  <si>
    <t xml:space="preserve">Month</t>
  </si>
  <si>
    <t xml:space="preserve">Opening balance (₹)</t>
  </si>
  <si>
    <t xml:space="preserve">EMI (₹)</t>
  </si>
  <si>
    <t xml:space="preserve">Interest (₹)</t>
  </si>
  <si>
    <t xml:space="preserve">Principal (₹)</t>
  </si>
  <si>
    <t xml:space="preserve">Year numbers 1 to 30 are fixed structure. Years beyond the tenure show '-'.</t>
  </si>
  <si>
    <t xml:space="preserve">SIP Growth Planner</t>
  </si>
  <si>
    <t xml:space="preserve">Change the yellow cells. Values are assumptions, not guaranteed returns.</t>
  </si>
  <si>
    <t xml:space="preserve">Monthly SIP in year 1 (₹)</t>
  </si>
  <si>
    <t xml:space="preserve">Expected annual return</t>
  </si>
  <si>
    <t xml:space="preserve">Investment period (years, max 30)</t>
  </si>
  <si>
    <t xml:space="preserve">Yearly SIP step-up</t>
  </si>
  <si>
    <t xml:space="preserve">Equivalent monthly return</t>
  </si>
  <si>
    <t xml:space="preserve">Years modelled</t>
  </si>
  <si>
    <t xml:space="preserve">Total amount invested (₹)</t>
  </si>
  <si>
    <t xml:space="preserve">Final portfolio value (₹)</t>
  </si>
  <si>
    <t xml:space="preserve">Estimated gains (₹)</t>
  </si>
  <si>
    <t xml:space="preserve">Value as multiple of amount invested</t>
  </si>
  <si>
    <t xml:space="preserve">SIP per month (₹)</t>
  </si>
  <si>
    <t xml:space="preserve">Invested in year (₹)</t>
  </si>
  <si>
    <t xml:space="preserve">Opening value (₹)</t>
  </si>
  <si>
    <t xml:space="preserve">Growth in year (₹)</t>
  </si>
  <si>
    <t xml:space="preserve">Closing value (₹)</t>
  </si>
  <si>
    <t xml:space="preserve">Assumption: SIP is invested at the start of each month; return is compounded monthly at the equivalent rate.</t>
  </si>
  <si>
    <t xml:space="preserve">Monthly Budget vs Actuals</t>
  </si>
  <si>
    <t xml:space="preserve">Enter actual figures in the yellow cells. Sample values are illustrative.</t>
  </si>
  <si>
    <t xml:space="preserve">Income</t>
  </si>
  <si>
    <t xml:space="preserve">Budget (₹)</t>
  </si>
  <si>
    <t xml:space="preserve">Actual (₹)</t>
  </si>
  <si>
    <t xml:space="preserve">Variance (₹)</t>
  </si>
  <si>
    <t xml:space="preserve">Variance %</t>
  </si>
  <si>
    <t xml:space="preserve">Status</t>
  </si>
  <si>
    <t xml:space="preserve">Salary</t>
  </si>
  <si>
    <t xml:space="preserve">Part-time income</t>
  </si>
  <si>
    <t xml:space="preserve">Other income</t>
  </si>
  <si>
    <t xml:space="preserve">Total income</t>
  </si>
  <si>
    <t xml:space="preserve">Expenses</t>
  </si>
  <si>
    <t xml:space="preserve">Rent</t>
  </si>
  <si>
    <t xml:space="preserve">Groceries</t>
  </si>
  <si>
    <t xml:space="preserve">Utilities</t>
  </si>
  <si>
    <t xml:space="preserve">Transport</t>
  </si>
  <si>
    <t xml:space="preserve">Dining and outings</t>
  </si>
  <si>
    <t xml:space="preserve">Subscriptions</t>
  </si>
  <si>
    <t xml:space="preserve">SIP / savings</t>
  </si>
  <si>
    <t xml:space="preserve">Miscellaneous</t>
  </si>
  <si>
    <t xml:space="preserve">Total expenses</t>
  </si>
  <si>
    <t xml:space="preserve">Summary</t>
  </si>
  <si>
    <t xml:space="preserve">Difference (₹)</t>
  </si>
  <si>
    <t xml:space="preserve">Net surplus (income - expenses)</t>
  </si>
  <si>
    <t xml:space="preserve">Savings rate (net surplus / income)</t>
  </si>
  <si>
    <t xml:space="preserve">Variance: income = actual - budget; expenses = budget - actual (positive is favourable). Sample values are illustrative.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</si>
</sst>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;&quot;(₹&quot;#,##0\);\-"/>
    <numFmt numFmtId="166" formatCode="0"/>
    <numFmt numFmtId="167" formatCode="0.00%"/>
    <numFmt numFmtId="168" formatCode="0.0000%"/>
    <numFmt numFmtId="169" formatCode="0.0%;\(0.0%\);\-"/>
    <numFmt numFmtId="170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137"/>
      <name val="Arial"/>
      <family val="0"/>
      <charset val="1"/>
    </font>
    <font>
      <i val="true"/>
      <sz val="10"/>
      <color rgb="FF4F5F7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F5F7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EF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F213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1D2"/>
      </left>
      <right style="thin">
        <color rgb="FFB4C1D2"/>
      </right>
      <top style="thin">
        <color rgb="FFB4C1D2"/>
      </top>
      <bottom style="thin">
        <color rgb="FFB4C1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1D2"/>
      <rgbColor rgb="FF878787"/>
      <rgbColor rgb="FF9999FF"/>
      <rgbColor rgb="FFC0504D"/>
      <rgbColor rgb="FFFFFFCC"/>
      <rgbColor rgb="FFEA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4F5F74"/>
      <rgbColor rgb="FF969696"/>
      <rgbColor rgb="FF0F213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split of EMI: interest vs principal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'Loan EMI'!I3</c:f>
              <c:strCache>
                <c:ptCount val="1"/>
                <c:pt idx="0">
                  <c:v>Interest paid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'Loan EMI'!$H$4:$H$33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'Loan EMI'!$I$4:$I$33</c:f>
              <c:numCache>
                <c:formatCode>\₹#,##0;"(₹"#,##0\);\-</c:formatCode>
                <c:ptCount val="30"/>
                <c:pt idx="0">
                  <c:v>235615.889902985</c:v>
                </c:pt>
                <c:pt idx="1">
                  <c:v>231246.667215242</c:v>
                </c:pt>
                <c:pt idx="2">
                  <c:v>226443.809731428</c:v>
                </c:pt>
                <c:pt idx="3">
                  <c:v>221164.280245661</c:v>
                </c:pt>
                <c:pt idx="4">
                  <c:v>215360.770213346</c:v>
                </c:pt>
                <c:pt idx="5">
                  <c:v>208981.275831135</c:v>
                </c:pt>
                <c:pt idx="6">
                  <c:v>201968.632043831</c:v>
                </c:pt>
                <c:pt idx="7">
                  <c:v>194260.000302616</c:v>
                </c:pt>
                <c:pt idx="8">
                  <c:v>185786.305484515</c:v>
                </c:pt>
                <c:pt idx="9">
                  <c:v>176471.616927478</c:v>
                </c:pt>
                <c:pt idx="10">
                  <c:v>166232.468034688</c:v>
                </c:pt>
                <c:pt idx="11">
                  <c:v>154977.108351243</c:v>
                </c:pt>
                <c:pt idx="12">
                  <c:v>142604.681411254</c:v>
                </c:pt>
                <c:pt idx="13">
                  <c:v>129004.320988251</c:v>
                </c:pt>
                <c:pt idx="14">
                  <c:v>114054.157650635</c:v>
                </c:pt>
                <c:pt idx="15">
                  <c:v>97620.2267201434</c:v>
                </c:pt>
                <c:pt idx="16">
                  <c:v>79555.2678478467</c:v>
                </c:pt>
                <c:pt idx="17">
                  <c:v>59697.4054509517</c:v>
                </c:pt>
                <c:pt idx="18">
                  <c:v>37868.6981861518</c:v>
                </c:pt>
                <c:pt idx="19">
                  <c:v>13873.5444617089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'Loan EMI'!J3</c:f>
              <c:strCache>
                <c:ptCount val="1"/>
                <c:pt idx="0">
                  <c:v>Principal paid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'Loan EMI'!$H$4:$H$33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'Loan EMI'!$J$4:$J$33</c:f>
              <c:numCache>
                <c:formatCode>\₹#,##0;"(₹"#,##0\);\-</c:formatCode>
                <c:ptCount val="30"/>
                <c:pt idx="0">
                  <c:v>44023.4664470707</c:v>
                </c:pt>
                <c:pt idx="1">
                  <c:v>48392.6891348138</c:v>
                </c:pt>
                <c:pt idx="2">
                  <c:v>53195.5466186274</c:v>
                </c:pt>
                <c:pt idx="3">
                  <c:v>58475.0761043948</c:v>
                </c:pt>
                <c:pt idx="4">
                  <c:v>64278.5861367091</c:v>
                </c:pt>
                <c:pt idx="5">
                  <c:v>70658.0805189206</c:v>
                </c:pt>
                <c:pt idx="6">
                  <c:v>77670.7243062248</c:v>
                </c:pt>
                <c:pt idx="7">
                  <c:v>85379.3560474397</c:v>
                </c:pt>
                <c:pt idx="8">
                  <c:v>93853.0508655404</c:v>
                </c:pt>
                <c:pt idx="9">
                  <c:v>103167.739422577</c:v>
                </c:pt>
                <c:pt idx="10">
                  <c:v>113406.888315367</c:v>
                </c:pt>
                <c:pt idx="11">
                  <c:v>124662.247998812</c:v>
                </c:pt>
                <c:pt idx="12">
                  <c:v>137034.674938802</c:v>
                </c:pt>
                <c:pt idx="13">
                  <c:v>150635.035361804</c:v>
                </c:pt>
                <c:pt idx="14">
                  <c:v>165585.198699421</c:v>
                </c:pt>
                <c:pt idx="15">
                  <c:v>182019.129629912</c:v>
                </c:pt>
                <c:pt idx="16">
                  <c:v>200084.088502209</c:v>
                </c:pt>
                <c:pt idx="17">
                  <c:v>219941.950899104</c:v>
                </c:pt>
                <c:pt idx="18">
                  <c:v>241770.658163904</c:v>
                </c:pt>
                <c:pt idx="19">
                  <c:v>265765.811888347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100"/>
        <c:axId val="79320633"/>
        <c:axId val="20213733"/>
      </c:barChart>
      <c:catAx>
        <c:axId val="79320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13733"/>
        <c:crosses val="autoZero"/>
        <c:auto val="1"/>
        <c:lblAlgn val="ctr"/>
        <c:lblOffset val="100"/>
        <c:noMultiLvlLbl val="0"/>
      </c:catAx>
      <c:valAx>
        <c:axId val="20213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20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Amount invested vs portfolio value by year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'SIP Planner'!C15</c:f>
              <c:strCache>
                <c:ptCount val="1"/>
                <c:pt idx="0">
                  <c:v>Invested in year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'SIP Planner'!$A$16:$A$45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'SIP Planner'!$C$16:$C$45</c:f>
              <c:numCache>
                <c:formatCode>\₹#,##0;"(₹"#,##0\);\-</c:formatCode>
                <c:ptCount val="30"/>
                <c:pt idx="0">
                  <c:v>120000</c:v>
                </c:pt>
                <c:pt idx="1">
                  <c:v>132000</c:v>
                </c:pt>
                <c:pt idx="2">
                  <c:v>145200</c:v>
                </c:pt>
                <c:pt idx="3">
                  <c:v>159720</c:v>
                </c:pt>
                <c:pt idx="4">
                  <c:v>175692</c:v>
                </c:pt>
                <c:pt idx="5">
                  <c:v>193261.2</c:v>
                </c:pt>
                <c:pt idx="6">
                  <c:v>212587.32</c:v>
                </c:pt>
                <c:pt idx="7">
                  <c:v>233846.052</c:v>
                </c:pt>
                <c:pt idx="8">
                  <c:v>257230.6572</c:v>
                </c:pt>
                <c:pt idx="9">
                  <c:v>282953.72292</c:v>
                </c:pt>
                <c:pt idx="10">
                  <c:v>311249.095212</c:v>
                </c:pt>
                <c:pt idx="11">
                  <c:v>342374.0047332</c:v>
                </c:pt>
                <c:pt idx="12">
                  <c:v>376611.40520652</c:v>
                </c:pt>
                <c:pt idx="13">
                  <c:v>414272.545727172</c:v>
                </c:pt>
                <c:pt idx="14">
                  <c:v>455699.80029989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'SIP Planner'!F15</c:f>
              <c:strCache>
                <c:ptCount val="1"/>
                <c:pt idx="0">
                  <c:v>Closing value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'SIP Planner'!$A$16:$A$45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'SIP Planner'!$F$16:$F$45</c:f>
              <c:numCache>
                <c:formatCode>\₹#,##0;"(₹"#,##0\);\-</c:formatCode>
                <c:ptCount val="30"/>
                <c:pt idx="0">
                  <c:v>127664.979083532</c:v>
                </c:pt>
                <c:pt idx="1">
                  <c:v>283416.253565441</c:v>
                </c:pt>
                <c:pt idx="2">
                  <c:v>471900.828684368</c:v>
                </c:pt>
                <c:pt idx="3">
                  <c:v>698451.015286673</c:v>
                </c:pt>
                <c:pt idx="4">
                  <c:v>969179.432997274</c:v>
                </c:pt>
                <c:pt idx="5">
                  <c:v>1291086.69042077</c:v>
                </c:pt>
                <c:pt idx="6">
                  <c:v>1672183.39128146</c:v>
                </c:pt>
                <c:pt idx="7">
                  <c:v>2121628.32604646</c:v>
                </c:pt>
                <c:pt idx="8">
                  <c:v>2649884.94576438</c:v>
                </c:pt>
                <c:pt idx="9">
                  <c:v>3268898.48190769</c:v>
                </c:pt>
                <c:pt idx="10">
                  <c:v>3992296.37665335</c:v>
                </c:pt>
                <c:pt idx="11">
                  <c:v>4835615.02646016</c:v>
                </c:pt>
                <c:pt idx="12">
                  <c:v>5816556.22270463</c:v>
                </c:pt>
                <c:pt idx="13">
                  <c:v>6955277.10180537</c:v>
                </c:pt>
                <c:pt idx="14">
                  <c:v>8274717.89963581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150"/>
        <c:overlap val="0"/>
        <c:axId val="3518058"/>
        <c:axId val="8839312"/>
      </c:barChart>
      <c:catAx>
        <c:axId val="35180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9312"/>
        <c:crosses val="autoZero"/>
        <c:auto val="1"/>
        <c:lblAlgn val="ctr"/>
        <c:lblOffset val="100"/>
        <c:noMultiLvlLbl val="0"/>
      </c:catAx>
      <c:valAx>
        <c:axId val="8839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80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Expenses: budget vs actual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'Budget vs Actuals'!B9</c:f>
              <c:strCache>
                <c:ptCount val="1"/>
                <c:pt idx="0">
                  <c:v>Budget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Actuals'!$A$10:$A$17</c:f>
              <c:strCache>
                <c:ptCount val="8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Dining and outings</c:v>
                </c:pt>
                <c:pt idx="5">
                  <c:v>Subscriptions</c:v>
                </c:pt>
                <c:pt idx="6">
                  <c:v>SIP / savings</c:v>
                </c:pt>
                <c:pt idx="7">
                  <c:v>Miscellaneous</c:v>
                </c:pt>
              </c:strCache>
            </c:strRef>
          </c:cat>
          <c:val>
            <c:numRef>
              <c:f>'Budget vs Actuals'!$B$10:$B$17</c:f>
              <c:numCache>
                <c:formatCode>\₹#,##0;"(₹"#,##0\);\-</c:formatCode>
                <c:ptCount val="8"/>
                <c:pt idx="0">
                  <c:v>18000</c:v>
                </c:pt>
                <c:pt idx="1">
                  <c:v>8000</c:v>
                </c:pt>
                <c:pt idx="2">
                  <c:v>3500</c:v>
                </c:pt>
                <c:pt idx="3">
                  <c:v>4000</c:v>
                </c:pt>
                <c:pt idx="4">
                  <c:v>3000</c:v>
                </c:pt>
                <c:pt idx="5">
                  <c:v>1200</c:v>
                </c:pt>
                <c:pt idx="6">
                  <c:v>15000</c:v>
                </c:pt>
                <c:pt idx="7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'Budget vs Actuals'!C9</c:f>
              <c:strCache>
                <c:ptCount val="1"/>
                <c:pt idx="0">
                  <c:v>Actual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Actuals'!$A$10:$A$17</c:f>
              <c:strCache>
                <c:ptCount val="8"/>
                <c:pt idx="0">
                  <c:v>Rent</c:v>
                </c:pt>
                <c:pt idx="1">
                  <c:v>Groceries</c:v>
                </c:pt>
                <c:pt idx="2">
                  <c:v>Utilities</c:v>
                </c:pt>
                <c:pt idx="3">
                  <c:v>Transport</c:v>
                </c:pt>
                <c:pt idx="4">
                  <c:v>Dining and outings</c:v>
                </c:pt>
                <c:pt idx="5">
                  <c:v>Subscriptions</c:v>
                </c:pt>
                <c:pt idx="6">
                  <c:v>SIP / savings</c:v>
                </c:pt>
                <c:pt idx="7">
                  <c:v>Miscellaneous</c:v>
                </c:pt>
              </c:strCache>
            </c:strRef>
          </c:cat>
          <c:val>
            <c:numRef>
              <c:f>'Budget vs Actuals'!$C$10:$C$17</c:f>
              <c:numCache>
                <c:formatCode>\₹#,##0;"(₹"#,##0\);\-</c:formatCode>
                <c:ptCount val="8"/>
                <c:pt idx="0">
                  <c:v>18000</c:v>
                </c:pt>
                <c:pt idx="1">
                  <c:v>9200</c:v>
                </c:pt>
                <c:pt idx="2">
                  <c:v>3900</c:v>
                </c:pt>
                <c:pt idx="3">
                  <c:v>3600</c:v>
                </c:pt>
                <c:pt idx="4">
                  <c:v>4200</c:v>
                </c:pt>
                <c:pt idx="5">
                  <c:v>1200</c:v>
                </c:pt>
                <c:pt idx="6">
                  <c:v>15000</c:v>
                </c:pt>
                <c:pt idx="7">
                  <c:v>2100</c:v>
                </c:pt>
              </c:numCache>
            </c:numRef>
          </c:val>
        </c:ser>
        <c:gapWidth val="150"/>
        <c:overlap val="0"/>
        <c:axId val="6502715"/>
        <c:axId val="85622944"/>
      </c:barChart>
      <c:catAx>
        <c:axId val="6502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22944"/>
        <c:crosses val="autoZero"/>
        <c:auto val="1"/>
        <c:lblAlgn val="ctr"/>
        <c:lblOffset val="100"/>
        <c:noMultiLvlLbl val="0"/>
      </c:catAx>
      <c:valAx>
        <c:axId val="85622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2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130680</xdr:rowOff>
    </xdr:from>
    <xdr:to>
      <xdr:col>23</xdr:col>
      <xdr:colOff>473040</xdr:colOff>
      <xdr:row>17</xdr:row>
      <xdr:rowOff>97560</xdr:rowOff>
    </xdr:to>
    <xdr:graphicFrame>
      <xdr:nvGraphicFramePr>
        <xdr:cNvPr id="0" name="Chart 1"/>
        <xdr:cNvGraphicFramePr/>
      </xdr:nvGraphicFramePr>
      <xdr:xfrm>
        <a:off x="1170036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18</xdr:col>
      <xdr:colOff>473040</xdr:colOff>
      <xdr:row>18</xdr:row>
      <xdr:rowOff>19440</xdr:rowOff>
    </xdr:to>
    <xdr:graphicFrame>
      <xdr:nvGraphicFramePr>
        <xdr:cNvPr id="1" name="Chart 1"/>
        <xdr:cNvGraphicFramePr/>
      </xdr:nvGraphicFramePr>
      <xdr:xfrm>
        <a:off x="852876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18</xdr:col>
      <xdr:colOff>473040</xdr:colOff>
      <xdr:row>18</xdr:row>
      <xdr:rowOff>131760</xdr:rowOff>
    </xdr:to>
    <xdr:graphicFrame>
      <xdr:nvGraphicFramePr>
        <xdr:cNvPr id="2" name="Chart 1"/>
        <xdr:cNvGraphicFramePr/>
      </xdr:nvGraphicFramePr>
      <xdr:xfrm>
        <a:off x="782388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9" customFormat="false" ht="15" hidden="false" customHeight="false" outlineLevel="0" collapsed="false">
      <c r="A9" s="5" t="s">
        <v>10</v>
      </c>
    </row>
    <row r="10" customFormat="false" ht="15" hidden="false" customHeight="false" outlineLevel="0" collapsed="false">
      <c r="A10" s="6" t="s">
        <v>11</v>
      </c>
      <c r="B10" s="7" t="s">
        <v>12</v>
      </c>
    </row>
    <row r="11" customFormat="false" ht="15" hidden="false" customHeight="false" outlineLevel="0" collapsed="false">
      <c r="A11" s="8" t="s">
        <v>13</v>
      </c>
      <c r="B11" s="7" t="s">
        <v>14</v>
      </c>
    </row>
    <row r="12" customFormat="false" ht="15" hidden="false" customHeight="false" outlineLevel="0" collapsed="false">
      <c r="A12" s="7" t="s">
        <v>15</v>
      </c>
      <c r="B12" s="7" t="s">
        <v>16</v>
      </c>
    </row>
    <row r="14" customFormat="false" ht="15" hidden="false" customHeight="false" outlineLevel="0" collapsed="false">
      <c r="A14" s="5" t="s">
        <v>17</v>
      </c>
    </row>
    <row r="15" customFormat="false" ht="30" hidden="false" customHeight="true" outlineLevel="0" collapsed="false">
      <c r="A15" s="9" t="s">
        <v>18</v>
      </c>
      <c r="B15" s="10" t="s">
        <v>19</v>
      </c>
    </row>
    <row r="16" customFormat="false" ht="30" hidden="false" customHeight="true" outlineLevel="0" collapsed="false">
      <c r="A16" s="9" t="s">
        <v>18</v>
      </c>
      <c r="B16" s="10" t="s">
        <v>20</v>
      </c>
    </row>
    <row r="17" customFormat="false" ht="30" hidden="false" customHeight="true" outlineLevel="0" collapsed="false">
      <c r="A17" s="9" t="s">
        <v>18</v>
      </c>
      <c r="B17" s="10" t="s">
        <v>21</v>
      </c>
    </row>
    <row r="18" customFormat="false" ht="30" hidden="false" customHeight="true" outlineLevel="0" collapsed="false">
      <c r="A18" s="9" t="s">
        <v>18</v>
      </c>
      <c r="B18" s="10" t="s">
        <v>22</v>
      </c>
    </row>
    <row r="19" customFormat="false" ht="30" hidden="false" customHeight="true" outlineLevel="0" collapsed="false">
      <c r="A19" s="9" t="s">
        <v>18</v>
      </c>
      <c r="B19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8"/>
    <col collapsed="false" customWidth="true" hidden="false" outlineLevel="0" max="11" min="9" style="0" width="16"/>
    <col collapsed="false" customWidth="true" hidden="false" outlineLevel="0" max="12" min="12" style="0" width="3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3" customFormat="false" ht="23.85" hidden="false" customHeight="false" outlineLevel="0" collapsed="false">
      <c r="A3" s="11" t="s">
        <v>26</v>
      </c>
      <c r="B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</row>
    <row r="4" customFormat="false" ht="15" hidden="false" customHeight="false" outlineLevel="0" collapsed="false">
      <c r="A4" s="7" t="s">
        <v>32</v>
      </c>
      <c r="B4" s="12" t="n">
        <v>2500000</v>
      </c>
      <c r="H4" s="13" t="n">
        <v>1</v>
      </c>
      <c r="I4" s="14" t="n">
        <f aca="false">SUMIFS($D$17:$D$376,$A$17:$A$376,"&gt;"&amp;(H4-1)*12,$A$17:$A$376,"&lt;="&amp;H4*12)</f>
        <v>235615.889902985</v>
      </c>
      <c r="J4" s="14" t="n">
        <f aca="false">SUMIFS($E$17:$E$376,$A$17:$A$376,"&gt;"&amp;(H4-1)*12,$A$17:$A$376,"&lt;="&amp;H4*12)</f>
        <v>44023.4664470707</v>
      </c>
      <c r="K4" s="14" t="n">
        <f aca="false">IF(H4*12&gt;$B$9,0,INDEX($F$17:$F$376,H4*12))</f>
        <v>2455976.53355293</v>
      </c>
    </row>
    <row r="5" customFormat="false" ht="15" hidden="false" customHeight="false" outlineLevel="0" collapsed="false">
      <c r="A5" s="7" t="s">
        <v>33</v>
      </c>
      <c r="B5" s="15" t="n">
        <v>0.095</v>
      </c>
      <c r="H5" s="13" t="n">
        <v>2</v>
      </c>
      <c r="I5" s="14" t="n">
        <f aca="false">SUMIFS($D$17:$D$376,$A$17:$A$376,"&gt;"&amp;(H5-1)*12,$A$17:$A$376,"&lt;="&amp;H5*12)</f>
        <v>231246.667215242</v>
      </c>
      <c r="J5" s="14" t="n">
        <f aca="false">SUMIFS($E$17:$E$376,$A$17:$A$376,"&gt;"&amp;(H5-1)*12,$A$17:$A$376,"&lt;="&amp;H5*12)</f>
        <v>48392.6891348138</v>
      </c>
      <c r="K5" s="14" t="n">
        <f aca="false">IF(H5*12&gt;$B$9,0,INDEX($F$17:$F$376,H5*12))</f>
        <v>2407583.84441812</v>
      </c>
    </row>
    <row r="6" customFormat="false" ht="15" hidden="false" customHeight="false" outlineLevel="0" collapsed="false">
      <c r="A6" s="7" t="s">
        <v>34</v>
      </c>
      <c r="B6" s="16" t="n">
        <v>20</v>
      </c>
      <c r="H6" s="13" t="n">
        <v>3</v>
      </c>
      <c r="I6" s="14" t="n">
        <f aca="false">SUMIFS($D$17:$D$376,$A$17:$A$376,"&gt;"&amp;(H6-1)*12,$A$17:$A$376,"&lt;="&amp;H6*12)</f>
        <v>226443.809731428</v>
      </c>
      <c r="J6" s="14" t="n">
        <f aca="false">SUMIFS($E$17:$E$376,$A$17:$A$376,"&gt;"&amp;(H6-1)*12,$A$17:$A$376,"&lt;="&amp;H6*12)</f>
        <v>53195.5466186274</v>
      </c>
      <c r="K6" s="14" t="n">
        <f aca="false">IF(H6*12&gt;$B$9,0,INDEX($F$17:$F$376,H6*12))</f>
        <v>2354388.29779949</v>
      </c>
    </row>
    <row r="7" customFormat="false" ht="15" hidden="false" customHeight="false" outlineLevel="0" collapsed="false">
      <c r="A7" s="11" t="s">
        <v>35</v>
      </c>
      <c r="B7" s="11" t="s">
        <v>27</v>
      </c>
      <c r="H7" s="13" t="n">
        <v>4</v>
      </c>
      <c r="I7" s="14" t="n">
        <f aca="false">SUMIFS($D$17:$D$376,$A$17:$A$376,"&gt;"&amp;(H7-1)*12,$A$17:$A$376,"&lt;="&amp;H7*12)</f>
        <v>221164.280245661</v>
      </c>
      <c r="J7" s="14" t="n">
        <f aca="false">SUMIFS($E$17:$E$376,$A$17:$A$376,"&gt;"&amp;(H7-1)*12,$A$17:$A$376,"&lt;="&amp;H7*12)</f>
        <v>58475.0761043948</v>
      </c>
      <c r="K7" s="14" t="n">
        <f aca="false">IF(H7*12&gt;$B$9,0,INDEX($F$17:$F$376,H7*12))</f>
        <v>2295913.22169509</v>
      </c>
    </row>
    <row r="8" customFormat="false" ht="15" hidden="false" customHeight="false" outlineLevel="0" collapsed="false">
      <c r="A8" s="7" t="s">
        <v>36</v>
      </c>
      <c r="B8" s="17" t="n">
        <f aca="false">B5/12</f>
        <v>0.00791666666666667</v>
      </c>
      <c r="H8" s="13" t="n">
        <v>5</v>
      </c>
      <c r="I8" s="14" t="n">
        <f aca="false">SUMIFS($D$17:$D$376,$A$17:$A$376,"&gt;"&amp;(H8-1)*12,$A$17:$A$376,"&lt;="&amp;H8*12)</f>
        <v>215360.770213346</v>
      </c>
      <c r="J8" s="14" t="n">
        <f aca="false">SUMIFS($E$17:$E$376,$A$17:$A$376,"&gt;"&amp;(H8-1)*12,$A$17:$A$376,"&lt;="&amp;H8*12)</f>
        <v>64278.5861367091</v>
      </c>
      <c r="K8" s="14" t="n">
        <f aca="false">IF(H8*12&gt;$B$9,0,INDEX($F$17:$F$376,H8*12))</f>
        <v>2231634.63555838</v>
      </c>
    </row>
    <row r="9" customFormat="false" ht="15" hidden="false" customHeight="false" outlineLevel="0" collapsed="false">
      <c r="A9" s="7" t="s">
        <v>37</v>
      </c>
      <c r="B9" s="18" t="n">
        <f aca="false">MIN(B6,30)*12</f>
        <v>240</v>
      </c>
      <c r="H9" s="13" t="n">
        <v>6</v>
      </c>
      <c r="I9" s="14" t="n">
        <f aca="false">SUMIFS($D$17:$D$376,$A$17:$A$376,"&gt;"&amp;(H9-1)*12,$A$17:$A$376,"&lt;="&amp;H9*12)</f>
        <v>208981.275831135</v>
      </c>
      <c r="J9" s="14" t="n">
        <f aca="false">SUMIFS($E$17:$E$376,$A$17:$A$376,"&gt;"&amp;(H9-1)*12,$A$17:$A$376,"&lt;="&amp;H9*12)</f>
        <v>70658.0805189206</v>
      </c>
      <c r="K9" s="14" t="n">
        <f aca="false">IF(H9*12&gt;$B$9,0,INDEX($F$17:$F$376,H9*12))</f>
        <v>2160976.55503946</v>
      </c>
    </row>
    <row r="10" customFormat="false" ht="15" hidden="false" customHeight="false" outlineLevel="0" collapsed="false">
      <c r="A10" s="7" t="s">
        <v>38</v>
      </c>
      <c r="B10" s="19" t="n">
        <f aca="false">IF(B5=0,B4/B9,PMT(B8,B9,-B4))</f>
        <v>23303.279695838</v>
      </c>
      <c r="H10" s="13" t="n">
        <v>7</v>
      </c>
      <c r="I10" s="14" t="n">
        <f aca="false">SUMIFS($D$17:$D$376,$A$17:$A$376,"&gt;"&amp;(H10-1)*12,$A$17:$A$376,"&lt;="&amp;H10*12)</f>
        <v>201968.632043831</v>
      </c>
      <c r="J10" s="14" t="n">
        <f aca="false">SUMIFS($E$17:$E$376,$A$17:$A$376,"&gt;"&amp;(H10-1)*12,$A$17:$A$376,"&lt;="&amp;H10*12)</f>
        <v>77670.7243062248</v>
      </c>
      <c r="K10" s="14" t="n">
        <f aca="false">IF(H10*12&gt;$B$9,0,INDEX($F$17:$F$376,H10*12))</f>
        <v>2083305.83073324</v>
      </c>
    </row>
    <row r="11" customFormat="false" ht="15" hidden="false" customHeight="false" outlineLevel="0" collapsed="false">
      <c r="A11" s="7" t="s">
        <v>39</v>
      </c>
      <c r="B11" s="14" t="n">
        <f aca="false">B10*B9</f>
        <v>5592787.12700111</v>
      </c>
      <c r="H11" s="13" t="n">
        <v>8</v>
      </c>
      <c r="I11" s="14" t="n">
        <f aca="false">SUMIFS($D$17:$D$376,$A$17:$A$376,"&gt;"&amp;(H11-1)*12,$A$17:$A$376,"&lt;="&amp;H11*12)</f>
        <v>194260.000302616</v>
      </c>
      <c r="J11" s="14" t="n">
        <f aca="false">SUMIFS($E$17:$E$376,$A$17:$A$376,"&gt;"&amp;(H11-1)*12,$A$17:$A$376,"&lt;="&amp;H11*12)</f>
        <v>85379.3560474397</v>
      </c>
      <c r="K11" s="14" t="n">
        <f aca="false">IF(H11*12&gt;$B$9,0,INDEX($F$17:$F$376,H11*12))</f>
        <v>1997926.4746858</v>
      </c>
    </row>
    <row r="12" customFormat="false" ht="15" hidden="false" customHeight="false" outlineLevel="0" collapsed="false">
      <c r="A12" s="7" t="s">
        <v>40</v>
      </c>
      <c r="B12" s="14" t="n">
        <f aca="false">B11-B4</f>
        <v>3092787.12700111</v>
      </c>
      <c r="H12" s="13" t="n">
        <v>9</v>
      </c>
      <c r="I12" s="14" t="n">
        <f aca="false">SUMIFS($D$17:$D$376,$A$17:$A$376,"&gt;"&amp;(H12-1)*12,$A$17:$A$376,"&lt;="&amp;H12*12)</f>
        <v>185786.305484515</v>
      </c>
      <c r="J12" s="14" t="n">
        <f aca="false">SUMIFS($E$17:$E$376,$A$17:$A$376,"&gt;"&amp;(H12-1)*12,$A$17:$A$376,"&lt;="&amp;H12*12)</f>
        <v>93853.0508655404</v>
      </c>
      <c r="K12" s="14" t="n">
        <f aca="false">IF(H12*12&gt;$B$9,0,INDEX($F$17:$F$376,H12*12))</f>
        <v>1904073.42382026</v>
      </c>
    </row>
    <row r="13" customFormat="false" ht="15" hidden="false" customHeight="false" outlineLevel="0" collapsed="false">
      <c r="A13" s="7" t="s">
        <v>41</v>
      </c>
      <c r="B13" s="20" t="n">
        <f aca="false">IF(B11=0,0,B12/B11)</f>
        <v>0.552995681181859</v>
      </c>
      <c r="H13" s="13" t="n">
        <v>10</v>
      </c>
      <c r="I13" s="14" t="n">
        <f aca="false">SUMIFS($D$17:$D$376,$A$17:$A$376,"&gt;"&amp;(H13-1)*12,$A$17:$A$376,"&lt;="&amp;H13*12)</f>
        <v>176471.616927478</v>
      </c>
      <c r="J13" s="14" t="n">
        <f aca="false">SUMIFS($E$17:$E$376,$A$17:$A$376,"&gt;"&amp;(H13-1)*12,$A$17:$A$376,"&lt;="&amp;H13*12)</f>
        <v>103167.739422577</v>
      </c>
      <c r="K13" s="14" t="n">
        <f aca="false">IF(H13*12&gt;$B$9,0,INDEX($F$17:$F$376,H13*12))</f>
        <v>1800905.68439768</v>
      </c>
    </row>
    <row r="14" customFormat="false" ht="15" hidden="false" customHeight="false" outlineLevel="0" collapsed="false">
      <c r="A14" s="21" t="s">
        <v>42</v>
      </c>
      <c r="H14" s="13" t="n">
        <v>11</v>
      </c>
      <c r="I14" s="14" t="n">
        <f aca="false">SUMIFS($D$17:$D$376,$A$17:$A$376,"&gt;"&amp;(H14-1)*12,$A$17:$A$376,"&lt;="&amp;H14*12)</f>
        <v>166232.468034688</v>
      </c>
      <c r="J14" s="14" t="n">
        <f aca="false">SUMIFS($E$17:$E$376,$A$17:$A$376,"&gt;"&amp;(H14-1)*12,$A$17:$A$376,"&lt;="&amp;H14*12)</f>
        <v>113406.888315367</v>
      </c>
      <c r="K14" s="14" t="n">
        <f aca="false">IF(H14*12&gt;$B$9,0,INDEX($F$17:$F$376,H14*12))</f>
        <v>1687498.79608231</v>
      </c>
    </row>
    <row r="15" customFormat="false" ht="15" hidden="false" customHeight="false" outlineLevel="0" collapsed="false">
      <c r="H15" s="13" t="n">
        <v>12</v>
      </c>
      <c r="I15" s="14" t="n">
        <f aca="false">SUMIFS($D$17:$D$376,$A$17:$A$376,"&gt;"&amp;(H15-1)*12,$A$17:$A$376,"&lt;="&amp;H15*12)</f>
        <v>154977.108351243</v>
      </c>
      <c r="J15" s="14" t="n">
        <f aca="false">SUMIFS($E$17:$E$376,$A$17:$A$376,"&gt;"&amp;(H15-1)*12,$A$17:$A$376,"&lt;="&amp;H15*12)</f>
        <v>124662.247998812</v>
      </c>
      <c r="K15" s="14" t="n">
        <f aca="false">IF(H15*12&gt;$B$9,0,INDEX($F$17:$F$376,H15*12))</f>
        <v>1562836.5480835</v>
      </c>
    </row>
    <row r="16" customFormat="false" ht="23.85" hidden="false" customHeight="false" outlineLevel="0" collapsed="false">
      <c r="A16" s="11" t="s">
        <v>43</v>
      </c>
      <c r="B16" s="11" t="s">
        <v>44</v>
      </c>
      <c r="C16" s="11" t="s">
        <v>45</v>
      </c>
      <c r="D16" s="11" t="s">
        <v>46</v>
      </c>
      <c r="E16" s="11" t="s">
        <v>47</v>
      </c>
      <c r="F16" s="11" t="s">
        <v>31</v>
      </c>
      <c r="H16" s="13" t="n">
        <v>13</v>
      </c>
      <c r="I16" s="14" t="n">
        <f aca="false">SUMIFS($D$17:$D$376,$A$17:$A$376,"&gt;"&amp;(H16-1)*12,$A$17:$A$376,"&lt;="&amp;H16*12)</f>
        <v>142604.681411254</v>
      </c>
      <c r="J16" s="14" t="n">
        <f aca="false">SUMIFS($E$17:$E$376,$A$17:$A$376,"&gt;"&amp;(H16-1)*12,$A$17:$A$376,"&lt;="&amp;H16*12)</f>
        <v>137034.674938802</v>
      </c>
      <c r="K16" s="14" t="n">
        <f aca="false">IF(H16*12&gt;$B$9,0,INDEX($F$17:$F$376,H16*12))</f>
        <v>1425801.8731447</v>
      </c>
    </row>
    <row r="17" customFormat="false" ht="15" hidden="false" customHeight="false" outlineLevel="0" collapsed="false">
      <c r="A17" s="22" t="n">
        <f aca="false">IF(1&lt;=$B$9,1,"")</f>
        <v>1</v>
      </c>
      <c r="B17" s="23" t="n">
        <f aca="false">IF(A17="","",$B$4)</f>
        <v>2500000</v>
      </c>
      <c r="C17" s="23" t="n">
        <f aca="false">IF(A17="","",$B$10)</f>
        <v>23303.279695838</v>
      </c>
      <c r="D17" s="23" t="n">
        <f aca="false">IF(A17="","",B17*$B$8)</f>
        <v>19791.6666666667</v>
      </c>
      <c r="E17" s="23" t="n">
        <f aca="false">IF(A17="","",C17-D17)</f>
        <v>3511.61302917128</v>
      </c>
      <c r="F17" s="23" t="n">
        <f aca="false">IF(A17="","",B17-E17)</f>
        <v>2496488.38697083</v>
      </c>
      <c r="H17" s="13" t="n">
        <v>14</v>
      </c>
      <c r="I17" s="14" t="n">
        <f aca="false">SUMIFS($D$17:$D$376,$A$17:$A$376,"&gt;"&amp;(H17-1)*12,$A$17:$A$376,"&lt;="&amp;H17*12)</f>
        <v>129004.320988251</v>
      </c>
      <c r="J17" s="14" t="n">
        <f aca="false">SUMIFS($E$17:$E$376,$A$17:$A$376,"&gt;"&amp;(H17-1)*12,$A$17:$A$376,"&lt;="&amp;H17*12)</f>
        <v>150635.035361804</v>
      </c>
      <c r="K17" s="14" t="n">
        <f aca="false">IF(H17*12&gt;$B$9,0,INDEX($F$17:$F$376,H17*12))</f>
        <v>1275166.8377829</v>
      </c>
    </row>
    <row r="18" customFormat="false" ht="15" hidden="false" customHeight="false" outlineLevel="0" collapsed="false">
      <c r="A18" s="22" t="n">
        <f aca="false">IF(A17="","",IF(A17+1&lt;=$B$9,A17+1,""))</f>
        <v>2</v>
      </c>
      <c r="B18" s="23" t="n">
        <f aca="false">IF(A18="","",F17)</f>
        <v>2496488.38697083</v>
      </c>
      <c r="C18" s="23" t="n">
        <f aca="false">IF(A18="","",$B$10)</f>
        <v>23303.279695838</v>
      </c>
      <c r="D18" s="23" t="n">
        <f aca="false">IF(A18="","",B18*$B$8)</f>
        <v>19763.8663968524</v>
      </c>
      <c r="E18" s="23" t="n">
        <f aca="false">IF(A18="","",C18-D18)</f>
        <v>3539.41329898556</v>
      </c>
      <c r="F18" s="23" t="n">
        <f aca="false">IF(A18="","",B18-E18)</f>
        <v>2492948.97367184</v>
      </c>
      <c r="H18" s="13" t="n">
        <v>15</v>
      </c>
      <c r="I18" s="14" t="n">
        <f aca="false">SUMIFS($D$17:$D$376,$A$17:$A$376,"&gt;"&amp;(H18-1)*12,$A$17:$A$376,"&lt;="&amp;H18*12)</f>
        <v>114054.157650635</v>
      </c>
      <c r="J18" s="14" t="n">
        <f aca="false">SUMIFS($E$17:$E$376,$A$17:$A$376,"&gt;"&amp;(H18-1)*12,$A$17:$A$376,"&lt;="&amp;H18*12)</f>
        <v>165585.198699421</v>
      </c>
      <c r="K18" s="14" t="n">
        <f aca="false">IF(H18*12&gt;$B$9,0,INDEX($F$17:$F$376,H18*12))</f>
        <v>1109581.63908347</v>
      </c>
    </row>
    <row r="19" customFormat="false" ht="15" hidden="false" customHeight="false" outlineLevel="0" collapsed="false">
      <c r="A19" s="22" t="n">
        <f aca="false">IF(A18="","",IF(A18+1&lt;=$B$9,A18+1,""))</f>
        <v>3</v>
      </c>
      <c r="B19" s="23" t="n">
        <f aca="false">IF(A19="","",F18)</f>
        <v>2492948.97367184</v>
      </c>
      <c r="C19" s="23" t="n">
        <f aca="false">IF(A19="","",$B$10)</f>
        <v>23303.279695838</v>
      </c>
      <c r="D19" s="23" t="n">
        <f aca="false">IF(A19="","",B19*$B$8)</f>
        <v>19735.8460415688</v>
      </c>
      <c r="E19" s="23" t="n">
        <f aca="false">IF(A19="","",C19-D19)</f>
        <v>3567.43365426919</v>
      </c>
      <c r="F19" s="23" t="n">
        <f aca="false">IF(A19="","",B19-E19)</f>
        <v>2489381.54001757</v>
      </c>
      <c r="H19" s="13" t="n">
        <v>16</v>
      </c>
      <c r="I19" s="14" t="n">
        <f aca="false">SUMIFS($D$17:$D$376,$A$17:$A$376,"&gt;"&amp;(H19-1)*12,$A$17:$A$376,"&lt;="&amp;H19*12)</f>
        <v>97620.2267201434</v>
      </c>
      <c r="J19" s="14" t="n">
        <f aca="false">SUMIFS($E$17:$E$376,$A$17:$A$376,"&gt;"&amp;(H19-1)*12,$A$17:$A$376,"&lt;="&amp;H19*12)</f>
        <v>182019.129629912</v>
      </c>
      <c r="K19" s="14" t="n">
        <f aca="false">IF(H19*12&gt;$B$9,0,INDEX($F$17:$F$376,H19*12))</f>
        <v>927562.509453563</v>
      </c>
    </row>
    <row r="20" customFormat="false" ht="15" hidden="false" customHeight="false" outlineLevel="0" collapsed="false">
      <c r="A20" s="22" t="n">
        <f aca="false">IF(A19="","",IF(A19+1&lt;=$B$9,A19+1,""))</f>
        <v>4</v>
      </c>
      <c r="B20" s="23" t="n">
        <f aca="false">IF(A20="","",F19)</f>
        <v>2489381.54001757</v>
      </c>
      <c r="C20" s="23" t="n">
        <f aca="false">IF(A20="","",$B$10)</f>
        <v>23303.279695838</v>
      </c>
      <c r="D20" s="23" t="n">
        <f aca="false">IF(A20="","",B20*$B$8)</f>
        <v>19707.6038584725</v>
      </c>
      <c r="E20" s="23" t="n">
        <f aca="false">IF(A20="","",C20-D20)</f>
        <v>3595.67583736549</v>
      </c>
      <c r="F20" s="23" t="n">
        <f aca="false">IF(A20="","",B20-E20)</f>
        <v>2485785.86418021</v>
      </c>
      <c r="H20" s="13" t="n">
        <v>17</v>
      </c>
      <c r="I20" s="14" t="n">
        <f aca="false">SUMIFS($D$17:$D$376,$A$17:$A$376,"&gt;"&amp;(H20-1)*12,$A$17:$A$376,"&lt;="&amp;H20*12)</f>
        <v>79555.2678478467</v>
      </c>
      <c r="J20" s="14" t="n">
        <f aca="false">SUMIFS($E$17:$E$376,$A$17:$A$376,"&gt;"&amp;(H20-1)*12,$A$17:$A$376,"&lt;="&amp;H20*12)</f>
        <v>200084.088502209</v>
      </c>
      <c r="K20" s="14" t="n">
        <f aca="false">IF(H20*12&gt;$B$9,0,INDEX($F$17:$F$376,H20*12))</f>
        <v>727478.420951355</v>
      </c>
    </row>
    <row r="21" customFormat="false" ht="15" hidden="false" customHeight="false" outlineLevel="0" collapsed="false">
      <c r="A21" s="22" t="n">
        <f aca="false">IF(A20="","",IF(A20+1&lt;=$B$9,A20+1,""))</f>
        <v>5</v>
      </c>
      <c r="B21" s="23" t="n">
        <f aca="false">IF(A21="","",F20)</f>
        <v>2485785.86418021</v>
      </c>
      <c r="C21" s="23" t="n">
        <f aca="false">IF(A21="","",$B$10)</f>
        <v>23303.279695838</v>
      </c>
      <c r="D21" s="23" t="n">
        <f aca="false">IF(A21="","",B21*$B$8)</f>
        <v>19679.1380914267</v>
      </c>
      <c r="E21" s="23" t="n">
        <f aca="false">IF(A21="","",C21-D21)</f>
        <v>3624.1416044113</v>
      </c>
      <c r="F21" s="23" t="n">
        <f aca="false">IF(A21="","",B21-E21)</f>
        <v>2482161.7225758</v>
      </c>
      <c r="H21" s="13" t="n">
        <v>18</v>
      </c>
      <c r="I21" s="14" t="n">
        <f aca="false">SUMIFS($D$17:$D$376,$A$17:$A$376,"&gt;"&amp;(H21-1)*12,$A$17:$A$376,"&lt;="&amp;H21*12)</f>
        <v>59697.4054509517</v>
      </c>
      <c r="J21" s="14" t="n">
        <f aca="false">SUMIFS($E$17:$E$376,$A$17:$A$376,"&gt;"&amp;(H21-1)*12,$A$17:$A$376,"&lt;="&amp;H21*12)</f>
        <v>219941.950899104</v>
      </c>
      <c r="K21" s="14" t="n">
        <f aca="false">IF(H21*12&gt;$B$9,0,INDEX($F$17:$F$376,H21*12))</f>
        <v>507536.470052251</v>
      </c>
    </row>
    <row r="22" customFormat="false" ht="15" hidden="false" customHeight="false" outlineLevel="0" collapsed="false">
      <c r="A22" s="22" t="n">
        <f aca="false">IF(A21="","",IF(A21+1&lt;=$B$9,A21+1,""))</f>
        <v>6</v>
      </c>
      <c r="B22" s="23" t="n">
        <f aca="false">IF(A22="","",F21)</f>
        <v>2482161.7225758</v>
      </c>
      <c r="C22" s="23" t="n">
        <f aca="false">IF(A22="","",$B$10)</f>
        <v>23303.279695838</v>
      </c>
      <c r="D22" s="23" t="n">
        <f aca="false">IF(A22="","",B22*$B$8)</f>
        <v>19650.4469703917</v>
      </c>
      <c r="E22" s="23" t="n">
        <f aca="false">IF(A22="","",C22-D22)</f>
        <v>3652.83272544622</v>
      </c>
      <c r="F22" s="23" t="n">
        <f aca="false">IF(A22="","",B22-E22)</f>
        <v>2478508.88985035</v>
      </c>
      <c r="H22" s="13" t="n">
        <v>19</v>
      </c>
      <c r="I22" s="14" t="n">
        <f aca="false">SUMIFS($D$17:$D$376,$A$17:$A$376,"&gt;"&amp;(H22-1)*12,$A$17:$A$376,"&lt;="&amp;H22*12)</f>
        <v>37868.6981861518</v>
      </c>
      <c r="J22" s="14" t="n">
        <f aca="false">SUMIFS($E$17:$E$376,$A$17:$A$376,"&gt;"&amp;(H22-1)*12,$A$17:$A$376,"&lt;="&amp;H22*12)</f>
        <v>241770.658163904</v>
      </c>
      <c r="K22" s="14" t="n">
        <f aca="false">IF(H22*12&gt;$B$9,0,INDEX($F$17:$F$376,H22*12))</f>
        <v>265765.811888347</v>
      </c>
    </row>
    <row r="23" customFormat="false" ht="15" hidden="false" customHeight="false" outlineLevel="0" collapsed="false">
      <c r="A23" s="22" t="n">
        <f aca="false">IF(A22="","",IF(A22+1&lt;=$B$9,A22+1,""))</f>
        <v>7</v>
      </c>
      <c r="B23" s="23" t="n">
        <f aca="false">IF(A23="","",F22)</f>
        <v>2478508.88985035</v>
      </c>
      <c r="C23" s="23" t="n">
        <f aca="false">IF(A23="","",$B$10)</f>
        <v>23303.279695838</v>
      </c>
      <c r="D23" s="23" t="n">
        <f aca="false">IF(A23="","",B23*$B$8)</f>
        <v>19621.5287113153</v>
      </c>
      <c r="E23" s="23" t="n">
        <f aca="false">IF(A23="","",C23-D23)</f>
        <v>3681.75098452267</v>
      </c>
      <c r="F23" s="23" t="n">
        <f aca="false">IF(A23="","",B23-E23)</f>
        <v>2474827.13886583</v>
      </c>
      <c r="H23" s="13" t="n">
        <v>20</v>
      </c>
      <c r="I23" s="14" t="n">
        <f aca="false">SUMIFS($D$17:$D$376,$A$17:$A$376,"&gt;"&amp;(H23-1)*12,$A$17:$A$376,"&lt;="&amp;H23*12)</f>
        <v>13873.5444617089</v>
      </c>
      <c r="J23" s="14" t="n">
        <f aca="false">SUMIFS($E$17:$E$376,$A$17:$A$376,"&gt;"&amp;(H23-1)*12,$A$17:$A$376,"&lt;="&amp;H23*12)</f>
        <v>265765.811888347</v>
      </c>
      <c r="K23" s="14" t="n">
        <f aca="false">IF(H23*12&gt;$B$9,0,INDEX($F$17:$F$376,H23*12))</f>
        <v>8.36735125631094E-010</v>
      </c>
    </row>
    <row r="24" customFormat="false" ht="15" hidden="false" customHeight="false" outlineLevel="0" collapsed="false">
      <c r="A24" s="22" t="n">
        <f aca="false">IF(A23="","",IF(A23+1&lt;=$B$9,A23+1,""))</f>
        <v>8</v>
      </c>
      <c r="B24" s="23" t="n">
        <f aca="false">IF(A24="","",F23)</f>
        <v>2474827.13886583</v>
      </c>
      <c r="C24" s="23" t="n">
        <f aca="false">IF(A24="","",$B$10)</f>
        <v>23303.279695838</v>
      </c>
      <c r="D24" s="23" t="n">
        <f aca="false">IF(A24="","",B24*$B$8)</f>
        <v>19592.3815160211</v>
      </c>
      <c r="E24" s="23" t="n">
        <f aca="false">IF(A24="","",C24-D24)</f>
        <v>3710.89817981681</v>
      </c>
      <c r="F24" s="23" t="n">
        <f aca="false">IF(A24="","",B24-E24)</f>
        <v>2471116.24068601</v>
      </c>
      <c r="H24" s="13" t="n">
        <v>21</v>
      </c>
      <c r="I24" s="14" t="n">
        <f aca="false">SUMIFS($D$17:$D$376,$A$17:$A$376,"&gt;"&amp;(H24-1)*12,$A$17:$A$376,"&lt;="&amp;H24*12)</f>
        <v>0</v>
      </c>
      <c r="J24" s="14" t="n">
        <f aca="false">SUMIFS($E$17:$E$376,$A$17:$A$376,"&gt;"&amp;(H24-1)*12,$A$17:$A$376,"&lt;="&amp;H24*12)</f>
        <v>0</v>
      </c>
      <c r="K24" s="14" t="n">
        <f aca="false">IF(H24*12&gt;$B$9,0,INDEX($F$17:$F$376,H24*12))</f>
        <v>0</v>
      </c>
    </row>
    <row r="25" customFormat="false" ht="15" hidden="false" customHeight="false" outlineLevel="0" collapsed="false">
      <c r="A25" s="22" t="n">
        <f aca="false">IF(A24="","",IF(A24+1&lt;=$B$9,A24+1,""))</f>
        <v>9</v>
      </c>
      <c r="B25" s="23" t="n">
        <f aca="false">IF(A25="","",F24)</f>
        <v>2471116.24068601</v>
      </c>
      <c r="C25" s="23" t="n">
        <f aca="false">IF(A25="","",$B$10)</f>
        <v>23303.279695838</v>
      </c>
      <c r="D25" s="23" t="n">
        <f aca="false">IF(A25="","",B25*$B$8)</f>
        <v>19563.0035720976</v>
      </c>
      <c r="E25" s="23" t="n">
        <f aca="false">IF(A25="","",C25-D25)</f>
        <v>3740.27612374036</v>
      </c>
      <c r="F25" s="23" t="n">
        <f aca="false">IF(A25="","",B25-E25)</f>
        <v>2467375.96456227</v>
      </c>
      <c r="H25" s="13" t="n">
        <v>22</v>
      </c>
      <c r="I25" s="14" t="n">
        <f aca="false">SUMIFS($D$17:$D$376,$A$17:$A$376,"&gt;"&amp;(H25-1)*12,$A$17:$A$376,"&lt;="&amp;H25*12)</f>
        <v>0</v>
      </c>
      <c r="J25" s="14" t="n">
        <f aca="false">SUMIFS($E$17:$E$376,$A$17:$A$376,"&gt;"&amp;(H25-1)*12,$A$17:$A$376,"&lt;="&amp;H25*12)</f>
        <v>0</v>
      </c>
      <c r="K25" s="14" t="n">
        <f aca="false">IF(H25*12&gt;$B$9,0,INDEX($F$17:$F$376,H25*12))</f>
        <v>0</v>
      </c>
    </row>
    <row r="26" customFormat="false" ht="15" hidden="false" customHeight="false" outlineLevel="0" collapsed="false">
      <c r="A26" s="22" t="n">
        <f aca="false">IF(A25="","",IF(A25+1&lt;=$B$9,A25+1,""))</f>
        <v>10</v>
      </c>
      <c r="B26" s="23" t="n">
        <f aca="false">IF(A26="","",F25)</f>
        <v>2467375.96456227</v>
      </c>
      <c r="C26" s="23" t="n">
        <f aca="false">IF(A26="","",$B$10)</f>
        <v>23303.279695838</v>
      </c>
      <c r="D26" s="23" t="n">
        <f aca="false">IF(A26="","",B26*$B$8)</f>
        <v>19533.3930527847</v>
      </c>
      <c r="E26" s="23" t="n">
        <f aca="false">IF(A26="","",C26-D26)</f>
        <v>3769.8866430533</v>
      </c>
      <c r="F26" s="23" t="n">
        <f aca="false">IF(A26="","",B26-E26)</f>
        <v>2463606.07791922</v>
      </c>
      <c r="H26" s="13" t="n">
        <v>23</v>
      </c>
      <c r="I26" s="14" t="n">
        <f aca="false">SUMIFS($D$17:$D$376,$A$17:$A$376,"&gt;"&amp;(H26-1)*12,$A$17:$A$376,"&lt;="&amp;H26*12)</f>
        <v>0</v>
      </c>
      <c r="J26" s="14" t="n">
        <f aca="false">SUMIFS($E$17:$E$376,$A$17:$A$376,"&gt;"&amp;(H26-1)*12,$A$17:$A$376,"&lt;="&amp;H26*12)</f>
        <v>0</v>
      </c>
      <c r="K26" s="14" t="n">
        <f aca="false">IF(H26*12&gt;$B$9,0,INDEX($F$17:$F$376,H26*12))</f>
        <v>0</v>
      </c>
    </row>
    <row r="27" customFormat="false" ht="15" hidden="false" customHeight="false" outlineLevel="0" collapsed="false">
      <c r="A27" s="22" t="n">
        <f aca="false">IF(A26="","",IF(A26+1&lt;=$B$9,A26+1,""))</f>
        <v>11</v>
      </c>
      <c r="B27" s="23" t="n">
        <f aca="false">IF(A27="","",F26)</f>
        <v>2463606.07791922</v>
      </c>
      <c r="C27" s="23" t="n">
        <f aca="false">IF(A27="","",$B$10)</f>
        <v>23303.279695838</v>
      </c>
      <c r="D27" s="23" t="n">
        <f aca="false">IF(A27="","",B27*$B$8)</f>
        <v>19503.5481168605</v>
      </c>
      <c r="E27" s="23" t="n">
        <f aca="false">IF(A27="","",C27-D27)</f>
        <v>3799.73157897748</v>
      </c>
      <c r="F27" s="23" t="n">
        <f aca="false">IF(A27="","",B27-E27)</f>
        <v>2459806.34634024</v>
      </c>
      <c r="H27" s="13" t="n">
        <v>24</v>
      </c>
      <c r="I27" s="14" t="n">
        <f aca="false">SUMIFS($D$17:$D$376,$A$17:$A$376,"&gt;"&amp;(H27-1)*12,$A$17:$A$376,"&lt;="&amp;H27*12)</f>
        <v>0</v>
      </c>
      <c r="J27" s="14" t="n">
        <f aca="false">SUMIFS($E$17:$E$376,$A$17:$A$376,"&gt;"&amp;(H27-1)*12,$A$17:$A$376,"&lt;="&amp;H27*12)</f>
        <v>0</v>
      </c>
      <c r="K27" s="14" t="n">
        <f aca="false">IF(H27*12&gt;$B$9,0,INDEX($F$17:$F$376,H27*12))</f>
        <v>0</v>
      </c>
    </row>
    <row r="28" customFormat="false" ht="15" hidden="false" customHeight="false" outlineLevel="0" collapsed="false">
      <c r="A28" s="22" t="n">
        <f aca="false">IF(A27="","",IF(A27+1&lt;=$B$9,A27+1,""))</f>
        <v>12</v>
      </c>
      <c r="B28" s="23" t="n">
        <f aca="false">IF(A28="","",F27)</f>
        <v>2459806.34634024</v>
      </c>
      <c r="C28" s="23" t="n">
        <f aca="false">IF(A28="","",$B$10)</f>
        <v>23303.279695838</v>
      </c>
      <c r="D28" s="23" t="n">
        <f aca="false">IF(A28="","",B28*$B$8)</f>
        <v>19473.4669085269</v>
      </c>
      <c r="E28" s="23" t="n">
        <f aca="false">IF(A28="","",C28-D28)</f>
        <v>3829.81278731105</v>
      </c>
      <c r="F28" s="23" t="n">
        <f aca="false">IF(A28="","",B28-E28)</f>
        <v>2455976.53355293</v>
      </c>
      <c r="H28" s="13" t="n">
        <v>25</v>
      </c>
      <c r="I28" s="14" t="n">
        <f aca="false">SUMIFS($D$17:$D$376,$A$17:$A$376,"&gt;"&amp;(H28-1)*12,$A$17:$A$376,"&lt;="&amp;H28*12)</f>
        <v>0</v>
      </c>
      <c r="J28" s="14" t="n">
        <f aca="false">SUMIFS($E$17:$E$376,$A$17:$A$376,"&gt;"&amp;(H28-1)*12,$A$17:$A$376,"&lt;="&amp;H28*12)</f>
        <v>0</v>
      </c>
      <c r="K28" s="14" t="n">
        <f aca="false">IF(H28*12&gt;$B$9,0,INDEX($F$17:$F$376,H28*12))</f>
        <v>0</v>
      </c>
    </row>
    <row r="29" customFormat="false" ht="15" hidden="false" customHeight="false" outlineLevel="0" collapsed="false">
      <c r="A29" s="22" t="n">
        <f aca="false">IF(A28="","",IF(A28+1&lt;=$B$9,A28+1,""))</f>
        <v>13</v>
      </c>
      <c r="B29" s="23" t="n">
        <f aca="false">IF(A29="","",F28)</f>
        <v>2455976.53355293</v>
      </c>
      <c r="C29" s="23" t="n">
        <f aca="false">IF(A29="","",$B$10)</f>
        <v>23303.279695838</v>
      </c>
      <c r="D29" s="23" t="n">
        <f aca="false">IF(A29="","",B29*$B$8)</f>
        <v>19443.147557294</v>
      </c>
      <c r="E29" s="23" t="n">
        <f aca="false">IF(A29="","",C29-D29)</f>
        <v>3860.13213854393</v>
      </c>
      <c r="F29" s="23" t="n">
        <f aca="false">IF(A29="","",B29-E29)</f>
        <v>2452116.40141439</v>
      </c>
      <c r="H29" s="13" t="n">
        <v>26</v>
      </c>
      <c r="I29" s="14" t="n">
        <f aca="false">SUMIFS($D$17:$D$376,$A$17:$A$376,"&gt;"&amp;(H29-1)*12,$A$17:$A$376,"&lt;="&amp;H29*12)</f>
        <v>0</v>
      </c>
      <c r="J29" s="14" t="n">
        <f aca="false">SUMIFS($E$17:$E$376,$A$17:$A$376,"&gt;"&amp;(H29-1)*12,$A$17:$A$376,"&lt;="&amp;H29*12)</f>
        <v>0</v>
      </c>
      <c r="K29" s="14" t="n">
        <f aca="false">IF(H29*12&gt;$B$9,0,INDEX($F$17:$F$376,H29*12))</f>
        <v>0</v>
      </c>
    </row>
    <row r="30" customFormat="false" ht="15" hidden="false" customHeight="false" outlineLevel="0" collapsed="false">
      <c r="A30" s="22" t="n">
        <f aca="false">IF(A29="","",IF(A29+1&lt;=$B$9,A29+1,""))</f>
        <v>14</v>
      </c>
      <c r="B30" s="23" t="n">
        <f aca="false">IF(A30="","",F29)</f>
        <v>2452116.40141439</v>
      </c>
      <c r="C30" s="23" t="n">
        <f aca="false">IF(A30="","",$B$10)</f>
        <v>23303.279695838</v>
      </c>
      <c r="D30" s="23" t="n">
        <f aca="false">IF(A30="","",B30*$B$8)</f>
        <v>19412.5881778639</v>
      </c>
      <c r="E30" s="23" t="n">
        <f aca="false">IF(A30="","",C30-D30)</f>
        <v>3890.69151797406</v>
      </c>
      <c r="F30" s="23" t="n">
        <f aca="false">IF(A30="","",B30-E30)</f>
        <v>2448225.70989641</v>
      </c>
      <c r="H30" s="13" t="n">
        <v>27</v>
      </c>
      <c r="I30" s="14" t="n">
        <f aca="false">SUMIFS($D$17:$D$376,$A$17:$A$376,"&gt;"&amp;(H30-1)*12,$A$17:$A$376,"&lt;="&amp;H30*12)</f>
        <v>0</v>
      </c>
      <c r="J30" s="14" t="n">
        <f aca="false">SUMIFS($E$17:$E$376,$A$17:$A$376,"&gt;"&amp;(H30-1)*12,$A$17:$A$376,"&lt;="&amp;H30*12)</f>
        <v>0</v>
      </c>
      <c r="K30" s="14" t="n">
        <f aca="false">IF(H30*12&gt;$B$9,0,INDEX($F$17:$F$376,H30*12))</f>
        <v>0</v>
      </c>
    </row>
    <row r="31" customFormat="false" ht="15" hidden="false" customHeight="false" outlineLevel="0" collapsed="false">
      <c r="A31" s="22" t="n">
        <f aca="false">IF(A30="","",IF(A30+1&lt;=$B$9,A30+1,""))</f>
        <v>15</v>
      </c>
      <c r="B31" s="23" t="n">
        <f aca="false">IF(A31="","",F30)</f>
        <v>2448225.70989641</v>
      </c>
      <c r="C31" s="23" t="n">
        <f aca="false">IF(A31="","",$B$10)</f>
        <v>23303.279695838</v>
      </c>
      <c r="D31" s="23" t="n">
        <f aca="false">IF(A31="","",B31*$B$8)</f>
        <v>19381.7868700133</v>
      </c>
      <c r="E31" s="23" t="n">
        <f aca="false">IF(A31="","",C31-D31)</f>
        <v>3921.49282582469</v>
      </c>
      <c r="F31" s="23" t="n">
        <f aca="false">IF(A31="","",B31-E31)</f>
        <v>2444304.21707059</v>
      </c>
      <c r="H31" s="13" t="n">
        <v>28</v>
      </c>
      <c r="I31" s="14" t="n">
        <f aca="false">SUMIFS($D$17:$D$376,$A$17:$A$376,"&gt;"&amp;(H31-1)*12,$A$17:$A$376,"&lt;="&amp;H31*12)</f>
        <v>0</v>
      </c>
      <c r="J31" s="14" t="n">
        <f aca="false">SUMIFS($E$17:$E$376,$A$17:$A$376,"&gt;"&amp;(H31-1)*12,$A$17:$A$376,"&lt;="&amp;H31*12)</f>
        <v>0</v>
      </c>
      <c r="K31" s="14" t="n">
        <f aca="false">IF(H31*12&gt;$B$9,0,INDEX($F$17:$F$376,H31*12))</f>
        <v>0</v>
      </c>
    </row>
    <row r="32" customFormat="false" ht="15" hidden="false" customHeight="false" outlineLevel="0" collapsed="false">
      <c r="A32" s="22" t="n">
        <f aca="false">IF(A31="","",IF(A31+1&lt;=$B$9,A31+1,""))</f>
        <v>16</v>
      </c>
      <c r="B32" s="23" t="n">
        <f aca="false">IF(A32="","",F31)</f>
        <v>2444304.21707059</v>
      </c>
      <c r="C32" s="23" t="n">
        <f aca="false">IF(A32="","",$B$10)</f>
        <v>23303.279695838</v>
      </c>
      <c r="D32" s="23" t="n">
        <f aca="false">IF(A32="","",B32*$B$8)</f>
        <v>19350.7417184755</v>
      </c>
      <c r="E32" s="23" t="n">
        <f aca="false">IF(A32="","",C32-D32)</f>
        <v>3952.53797736247</v>
      </c>
      <c r="F32" s="23" t="n">
        <f aca="false">IF(A32="","",B32-E32)</f>
        <v>2440351.67909322</v>
      </c>
      <c r="H32" s="13" t="n">
        <v>29</v>
      </c>
      <c r="I32" s="14" t="n">
        <f aca="false">SUMIFS($D$17:$D$376,$A$17:$A$376,"&gt;"&amp;(H32-1)*12,$A$17:$A$376,"&lt;="&amp;H32*12)</f>
        <v>0</v>
      </c>
      <c r="J32" s="14" t="n">
        <f aca="false">SUMIFS($E$17:$E$376,$A$17:$A$376,"&gt;"&amp;(H32-1)*12,$A$17:$A$376,"&lt;="&amp;H32*12)</f>
        <v>0</v>
      </c>
      <c r="K32" s="14" t="n">
        <f aca="false">IF(H32*12&gt;$B$9,0,INDEX($F$17:$F$376,H32*12))</f>
        <v>0</v>
      </c>
    </row>
    <row r="33" customFormat="false" ht="15" hidden="false" customHeight="false" outlineLevel="0" collapsed="false">
      <c r="A33" s="22" t="n">
        <f aca="false">IF(A32="","",IF(A32+1&lt;=$B$9,A32+1,""))</f>
        <v>17</v>
      </c>
      <c r="B33" s="23" t="n">
        <f aca="false">IF(A33="","",F32)</f>
        <v>2440351.67909322</v>
      </c>
      <c r="C33" s="23" t="n">
        <f aca="false">IF(A33="","",$B$10)</f>
        <v>23303.279695838</v>
      </c>
      <c r="D33" s="23" t="n">
        <f aca="false">IF(A33="","",B33*$B$8)</f>
        <v>19319.4507928214</v>
      </c>
      <c r="E33" s="23" t="n">
        <f aca="false">IF(A33="","",C33-D33)</f>
        <v>3983.82890301659</v>
      </c>
      <c r="F33" s="23" t="n">
        <f aca="false">IF(A33="","",B33-E33)</f>
        <v>2436367.85019021</v>
      </c>
      <c r="H33" s="13" t="n">
        <v>30</v>
      </c>
      <c r="I33" s="14" t="n">
        <f aca="false">SUMIFS($D$17:$D$376,$A$17:$A$376,"&gt;"&amp;(H33-1)*12,$A$17:$A$376,"&lt;="&amp;H33*12)</f>
        <v>0</v>
      </c>
      <c r="J33" s="14" t="n">
        <f aca="false">SUMIFS($E$17:$E$376,$A$17:$A$376,"&gt;"&amp;(H33-1)*12,$A$17:$A$376,"&lt;="&amp;H33*12)</f>
        <v>0</v>
      </c>
      <c r="K33" s="14" t="n">
        <f aca="false">IF(H33*12&gt;$B$9,0,INDEX($F$17:$F$376,H33*12))</f>
        <v>0</v>
      </c>
    </row>
    <row r="34" customFormat="false" ht="15" hidden="false" customHeight="false" outlineLevel="0" collapsed="false">
      <c r="A34" s="22" t="n">
        <f aca="false">IF(A33="","",IF(A33+1&lt;=$B$9,A33+1,""))</f>
        <v>18</v>
      </c>
      <c r="B34" s="23" t="n">
        <f aca="false">IF(A34="","",F33)</f>
        <v>2436367.85019021</v>
      </c>
      <c r="C34" s="23" t="n">
        <f aca="false">IF(A34="","",$B$10)</f>
        <v>23303.279695838</v>
      </c>
      <c r="D34" s="23" t="n">
        <f aca="false">IF(A34="","",B34*$B$8)</f>
        <v>19287.9121473391</v>
      </c>
      <c r="E34" s="23" t="n">
        <f aca="false">IF(A34="","",C34-D34)</f>
        <v>4015.36754849881</v>
      </c>
      <c r="F34" s="23" t="n">
        <f aca="false">IF(A34="","",B34-E34)</f>
        <v>2432352.48264171</v>
      </c>
    </row>
    <row r="35" customFormat="false" ht="15" hidden="false" customHeight="false" outlineLevel="0" collapsed="false">
      <c r="A35" s="22" t="n">
        <f aca="false">IF(A34="","",IF(A34+1&lt;=$B$9,A34+1,""))</f>
        <v>19</v>
      </c>
      <c r="B35" s="23" t="n">
        <f aca="false">IF(A35="","",F34)</f>
        <v>2432352.48264171</v>
      </c>
      <c r="C35" s="23" t="n">
        <f aca="false">IF(A35="","",$B$10)</f>
        <v>23303.279695838</v>
      </c>
      <c r="D35" s="23" t="n">
        <f aca="false">IF(A35="","",B35*$B$8)</f>
        <v>19256.1238209135</v>
      </c>
      <c r="E35" s="23" t="n">
        <f aca="false">IF(A35="","",C35-D35)</f>
        <v>4047.15587492443</v>
      </c>
      <c r="F35" s="23" t="n">
        <f aca="false">IF(A35="","",B35-E35)</f>
        <v>2428305.32676678</v>
      </c>
      <c r="H35" s="21" t="s">
        <v>48</v>
      </c>
    </row>
    <row r="36" customFormat="false" ht="15" hidden="false" customHeight="false" outlineLevel="0" collapsed="false">
      <c r="A36" s="22" t="n">
        <f aca="false">IF(A35="","",IF(A35+1&lt;=$B$9,A35+1,""))</f>
        <v>20</v>
      </c>
      <c r="B36" s="23" t="n">
        <f aca="false">IF(A36="","",F35)</f>
        <v>2428305.32676678</v>
      </c>
      <c r="C36" s="23" t="n">
        <f aca="false">IF(A36="","",$B$10)</f>
        <v>23303.279695838</v>
      </c>
      <c r="D36" s="23" t="n">
        <f aca="false">IF(A36="","",B36*$B$8)</f>
        <v>19224.0838369037</v>
      </c>
      <c r="E36" s="23" t="n">
        <f aca="false">IF(A36="","",C36-D36)</f>
        <v>4079.19585893424</v>
      </c>
      <c r="F36" s="23" t="n">
        <f aca="false">IF(A36="","",B36-E36)</f>
        <v>2424226.13090785</v>
      </c>
    </row>
    <row r="37" customFormat="false" ht="15" hidden="false" customHeight="false" outlineLevel="0" collapsed="false">
      <c r="A37" s="22" t="n">
        <f aca="false">IF(A36="","",IF(A36+1&lt;=$B$9,A36+1,""))</f>
        <v>21</v>
      </c>
      <c r="B37" s="23" t="n">
        <f aca="false">IF(A37="","",F36)</f>
        <v>2424226.13090785</v>
      </c>
      <c r="C37" s="23" t="n">
        <f aca="false">IF(A37="","",$B$10)</f>
        <v>23303.279695838</v>
      </c>
      <c r="D37" s="23" t="n">
        <f aca="false">IF(A37="","",B37*$B$8)</f>
        <v>19191.7902030205</v>
      </c>
      <c r="E37" s="23" t="n">
        <f aca="false">IF(A37="","",C37-D37)</f>
        <v>4111.48949281747</v>
      </c>
      <c r="F37" s="23" t="n">
        <f aca="false">IF(A37="","",B37-E37)</f>
        <v>2420114.64141503</v>
      </c>
    </row>
    <row r="38" customFormat="false" ht="15" hidden="false" customHeight="false" outlineLevel="0" collapsed="false">
      <c r="A38" s="22" t="n">
        <f aca="false">IF(A37="","",IF(A37+1&lt;=$B$9,A37+1,""))</f>
        <v>22</v>
      </c>
      <c r="B38" s="23" t="n">
        <f aca="false">IF(A38="","",F37)</f>
        <v>2420114.64141503</v>
      </c>
      <c r="C38" s="23" t="n">
        <f aca="false">IF(A38="","",$B$10)</f>
        <v>23303.279695838</v>
      </c>
      <c r="D38" s="23" t="n">
        <f aca="false">IF(A38="","",B38*$B$8)</f>
        <v>19159.2409112023</v>
      </c>
      <c r="E38" s="23" t="n">
        <f aca="false">IF(A38="","",C38-D38)</f>
        <v>4144.03878463561</v>
      </c>
      <c r="F38" s="23" t="n">
        <f aca="false">IF(A38="","",B38-E38)</f>
        <v>2415970.6026304</v>
      </c>
    </row>
    <row r="39" customFormat="false" ht="15" hidden="false" customHeight="false" outlineLevel="0" collapsed="false">
      <c r="A39" s="22" t="n">
        <f aca="false">IF(A38="","",IF(A38+1&lt;=$B$9,A38+1,""))</f>
        <v>23</v>
      </c>
      <c r="B39" s="23" t="n">
        <f aca="false">IF(A39="","",F38)</f>
        <v>2415970.6026304</v>
      </c>
      <c r="C39" s="23" t="n">
        <f aca="false">IF(A39="","",$B$10)</f>
        <v>23303.279695838</v>
      </c>
      <c r="D39" s="23" t="n">
        <f aca="false">IF(A39="","",B39*$B$8)</f>
        <v>19126.4339374906</v>
      </c>
      <c r="E39" s="23" t="n">
        <f aca="false">IF(A39="","",C39-D39)</f>
        <v>4176.84575834731</v>
      </c>
      <c r="F39" s="23" t="n">
        <f aca="false">IF(A39="","",B39-E39)</f>
        <v>2411793.75687205</v>
      </c>
    </row>
    <row r="40" customFormat="false" ht="15" hidden="false" customHeight="false" outlineLevel="0" collapsed="false">
      <c r="A40" s="22" t="n">
        <f aca="false">IF(A39="","",IF(A39+1&lt;=$B$9,A39+1,""))</f>
        <v>24</v>
      </c>
      <c r="B40" s="23" t="n">
        <f aca="false">IF(A40="","",F39)</f>
        <v>2411793.75687205</v>
      </c>
      <c r="C40" s="23" t="n">
        <f aca="false">IF(A40="","",$B$10)</f>
        <v>23303.279695838</v>
      </c>
      <c r="D40" s="23" t="n">
        <f aca="false">IF(A40="","",B40*$B$8)</f>
        <v>19093.3672419037</v>
      </c>
      <c r="E40" s="23" t="n">
        <f aca="false">IF(A40="","",C40-D40)</f>
        <v>4209.91245393422</v>
      </c>
      <c r="F40" s="23" t="n">
        <f aca="false">IF(A40="","",B40-E40)</f>
        <v>2407583.84441812</v>
      </c>
    </row>
    <row r="41" customFormat="false" ht="15" hidden="false" customHeight="false" outlineLevel="0" collapsed="false">
      <c r="A41" s="22" t="n">
        <f aca="false">IF(A40="","",IF(A40+1&lt;=$B$9,A40+1,""))</f>
        <v>25</v>
      </c>
      <c r="B41" s="23" t="n">
        <f aca="false">IF(A41="","",F40)</f>
        <v>2407583.84441812</v>
      </c>
      <c r="C41" s="23" t="n">
        <f aca="false">IF(A41="","",$B$10)</f>
        <v>23303.279695838</v>
      </c>
      <c r="D41" s="23" t="n">
        <f aca="false">IF(A41="","",B41*$B$8)</f>
        <v>19060.0387683101</v>
      </c>
      <c r="E41" s="23" t="n">
        <f aca="false">IF(A41="","",C41-D41)</f>
        <v>4243.24092752787</v>
      </c>
      <c r="F41" s="23" t="n">
        <f aca="false">IF(A41="","",B41-E41)</f>
        <v>2403340.60349059</v>
      </c>
    </row>
    <row r="42" customFormat="false" ht="15" hidden="false" customHeight="false" outlineLevel="0" collapsed="false">
      <c r="A42" s="22" t="n">
        <f aca="false">IF(A41="","",IF(A41+1&lt;=$B$9,A41+1,""))</f>
        <v>26</v>
      </c>
      <c r="B42" s="23" t="n">
        <f aca="false">IF(A42="","",F41)</f>
        <v>2403340.60349059</v>
      </c>
      <c r="C42" s="23" t="n">
        <f aca="false">IF(A42="","",$B$10)</f>
        <v>23303.279695838</v>
      </c>
      <c r="D42" s="23" t="n">
        <f aca="false">IF(A42="","",B42*$B$8)</f>
        <v>19026.4464443005</v>
      </c>
      <c r="E42" s="23" t="n">
        <f aca="false">IF(A42="","",C42-D42)</f>
        <v>4276.83325153746</v>
      </c>
      <c r="F42" s="23" t="n">
        <f aca="false">IF(A42="","",B42-E42)</f>
        <v>2399063.77023905</v>
      </c>
    </row>
    <row r="43" customFormat="false" ht="15" hidden="false" customHeight="false" outlineLevel="0" collapsed="false">
      <c r="A43" s="22" t="n">
        <f aca="false">IF(A42="","",IF(A42+1&lt;=$B$9,A42+1,""))</f>
        <v>27</v>
      </c>
      <c r="B43" s="23" t="n">
        <f aca="false">IF(A43="","",F42)</f>
        <v>2399063.77023905</v>
      </c>
      <c r="C43" s="23" t="n">
        <f aca="false">IF(A43="","",$B$10)</f>
        <v>23303.279695838</v>
      </c>
      <c r="D43" s="23" t="n">
        <f aca="false">IF(A43="","",B43*$B$8)</f>
        <v>18992.5881810592</v>
      </c>
      <c r="E43" s="23" t="n">
        <f aca="false">IF(A43="","",C43-D43)</f>
        <v>4310.6915147788</v>
      </c>
      <c r="F43" s="23" t="n">
        <f aca="false">IF(A43="","",B43-E43)</f>
        <v>2394753.07872427</v>
      </c>
    </row>
    <row r="44" customFormat="false" ht="15" hidden="false" customHeight="false" outlineLevel="0" collapsed="false">
      <c r="A44" s="22" t="n">
        <f aca="false">IF(A43="","",IF(A43+1&lt;=$B$9,A43+1,""))</f>
        <v>28</v>
      </c>
      <c r="B44" s="23" t="n">
        <f aca="false">IF(A44="","",F43)</f>
        <v>2394753.07872427</v>
      </c>
      <c r="C44" s="23" t="n">
        <f aca="false">IF(A44="","",$B$10)</f>
        <v>23303.279695838</v>
      </c>
      <c r="D44" s="23" t="n">
        <f aca="false">IF(A44="","",B44*$B$8)</f>
        <v>18958.4618732338</v>
      </c>
      <c r="E44" s="23" t="n">
        <f aca="false">IF(A44="","",C44-D44)</f>
        <v>4344.81782260413</v>
      </c>
      <c r="F44" s="23" t="n">
        <f aca="false">IF(A44="","",B44-E44)</f>
        <v>2390408.26090167</v>
      </c>
    </row>
    <row r="45" customFormat="false" ht="15" hidden="false" customHeight="false" outlineLevel="0" collapsed="false">
      <c r="A45" s="22" t="n">
        <f aca="false">IF(A44="","",IF(A44+1&lt;=$B$9,A44+1,""))</f>
        <v>29</v>
      </c>
      <c r="B45" s="23" t="n">
        <f aca="false">IF(A45="","",F44)</f>
        <v>2390408.26090167</v>
      </c>
      <c r="C45" s="23" t="n">
        <f aca="false">IF(A45="","",$B$10)</f>
        <v>23303.279695838</v>
      </c>
      <c r="D45" s="23" t="n">
        <f aca="false">IF(A45="","",B45*$B$8)</f>
        <v>18924.0653988049</v>
      </c>
      <c r="E45" s="23" t="n">
        <f aca="false">IF(A45="","",C45-D45)</f>
        <v>4379.21429703308</v>
      </c>
      <c r="F45" s="23" t="n">
        <f aca="false">IF(A45="","",B45-E45)</f>
        <v>2386029.04660463</v>
      </c>
    </row>
    <row r="46" customFormat="false" ht="15" hidden="false" customHeight="false" outlineLevel="0" collapsed="false">
      <c r="A46" s="22" t="n">
        <f aca="false">IF(A45="","",IF(A45+1&lt;=$B$9,A45+1,""))</f>
        <v>30</v>
      </c>
      <c r="B46" s="23" t="n">
        <f aca="false">IF(A46="","",F45)</f>
        <v>2386029.04660463</v>
      </c>
      <c r="C46" s="23" t="n">
        <f aca="false">IF(A46="","",$B$10)</f>
        <v>23303.279695838</v>
      </c>
      <c r="D46" s="23" t="n">
        <f aca="false">IF(A46="","",B46*$B$8)</f>
        <v>18889.3966189534</v>
      </c>
      <c r="E46" s="23" t="n">
        <f aca="false">IF(A46="","",C46-D46)</f>
        <v>4413.88307688459</v>
      </c>
      <c r="F46" s="23" t="n">
        <f aca="false">IF(A46="","",B46-E46)</f>
        <v>2381615.16352775</v>
      </c>
    </row>
    <row r="47" customFormat="false" ht="15" hidden="false" customHeight="false" outlineLevel="0" collapsed="false">
      <c r="A47" s="22" t="n">
        <f aca="false">IF(A46="","",IF(A46+1&lt;=$B$9,A46+1,""))</f>
        <v>31</v>
      </c>
      <c r="B47" s="23" t="n">
        <f aca="false">IF(A47="","",F46)</f>
        <v>2381615.16352775</v>
      </c>
      <c r="C47" s="23" t="n">
        <f aca="false">IF(A47="","",$B$10)</f>
        <v>23303.279695838</v>
      </c>
      <c r="D47" s="23" t="n">
        <f aca="false">IF(A47="","",B47*$B$8)</f>
        <v>18854.453377928</v>
      </c>
      <c r="E47" s="23" t="n">
        <f aca="false">IF(A47="","",C47-D47)</f>
        <v>4448.82631790993</v>
      </c>
      <c r="F47" s="23" t="n">
        <f aca="false">IF(A47="","",B47-E47)</f>
        <v>2377166.33720984</v>
      </c>
    </row>
    <row r="48" customFormat="false" ht="15" hidden="false" customHeight="false" outlineLevel="0" collapsed="false">
      <c r="A48" s="22" t="n">
        <f aca="false">IF(A47="","",IF(A47+1&lt;=$B$9,A47+1,""))</f>
        <v>32</v>
      </c>
      <c r="B48" s="23" t="n">
        <f aca="false">IF(A48="","",F47)</f>
        <v>2377166.33720984</v>
      </c>
      <c r="C48" s="23" t="n">
        <f aca="false">IF(A48="","",$B$10)</f>
        <v>23303.279695838</v>
      </c>
      <c r="D48" s="23" t="n">
        <f aca="false">IF(A48="","",B48*$B$8)</f>
        <v>18819.2335029112</v>
      </c>
      <c r="E48" s="23" t="n">
        <f aca="false">IF(A48="","",C48-D48)</f>
        <v>4484.04619292672</v>
      </c>
      <c r="F48" s="23" t="n">
        <f aca="false">IF(A48="","",B48-E48)</f>
        <v>2372682.29101691</v>
      </c>
    </row>
    <row r="49" customFormat="false" ht="15" hidden="false" customHeight="false" outlineLevel="0" collapsed="false">
      <c r="A49" s="22" t="n">
        <f aca="false">IF(A48="","",IF(A48+1&lt;=$B$9,A48+1,""))</f>
        <v>33</v>
      </c>
      <c r="B49" s="23" t="n">
        <f aca="false">IF(A49="","",F48)</f>
        <v>2372682.29101691</v>
      </c>
      <c r="C49" s="23" t="n">
        <f aca="false">IF(A49="","",$B$10)</f>
        <v>23303.279695838</v>
      </c>
      <c r="D49" s="23" t="n">
        <f aca="false">IF(A49="","",B49*$B$8)</f>
        <v>18783.7348038839</v>
      </c>
      <c r="E49" s="23" t="n">
        <f aca="false">IF(A49="","",C49-D49)</f>
        <v>4519.54489195405</v>
      </c>
      <c r="F49" s="23" t="n">
        <f aca="false">IF(A49="","",B49-E49)</f>
        <v>2368162.74612496</v>
      </c>
    </row>
    <row r="50" customFormat="false" ht="15" hidden="false" customHeight="false" outlineLevel="0" collapsed="false">
      <c r="A50" s="22" t="n">
        <f aca="false">IF(A49="","",IF(A49+1&lt;=$B$9,A49+1,""))</f>
        <v>34</v>
      </c>
      <c r="B50" s="23" t="n">
        <f aca="false">IF(A50="","",F49)</f>
        <v>2368162.74612496</v>
      </c>
      <c r="C50" s="23" t="n">
        <f aca="false">IF(A50="","",$B$10)</f>
        <v>23303.279695838</v>
      </c>
      <c r="D50" s="23" t="n">
        <f aca="false">IF(A50="","",B50*$B$8)</f>
        <v>18747.9550734893</v>
      </c>
      <c r="E50" s="23" t="n">
        <f aca="false">IF(A50="","",C50-D50)</f>
        <v>4555.32462234869</v>
      </c>
      <c r="F50" s="23" t="n">
        <f aca="false">IF(A50="","",B50-E50)</f>
        <v>2363607.42150261</v>
      </c>
    </row>
    <row r="51" customFormat="false" ht="15" hidden="false" customHeight="false" outlineLevel="0" collapsed="false">
      <c r="A51" s="22" t="n">
        <f aca="false">IF(A50="","",IF(A50+1&lt;=$B$9,A50+1,""))</f>
        <v>35</v>
      </c>
      <c r="B51" s="23" t="n">
        <f aca="false">IF(A51="","",F50)</f>
        <v>2363607.42150261</v>
      </c>
      <c r="C51" s="23" t="n">
        <f aca="false">IF(A51="","",$B$10)</f>
        <v>23303.279695838</v>
      </c>
      <c r="D51" s="23" t="n">
        <f aca="false">IF(A51="","",B51*$B$8)</f>
        <v>18711.8920868957</v>
      </c>
      <c r="E51" s="23" t="n">
        <f aca="false">IF(A51="","",C51-D51)</f>
        <v>4591.38760894229</v>
      </c>
      <c r="F51" s="23" t="n">
        <f aca="false">IF(A51="","",B51-E51)</f>
        <v>2359016.03389367</v>
      </c>
    </row>
    <row r="52" customFormat="false" ht="15" hidden="false" customHeight="false" outlineLevel="0" collapsed="false">
      <c r="A52" s="22" t="n">
        <f aca="false">IF(A51="","",IF(A51+1&lt;=$B$9,A51+1,""))</f>
        <v>36</v>
      </c>
      <c r="B52" s="23" t="n">
        <f aca="false">IF(A52="","",F51)</f>
        <v>2359016.03389367</v>
      </c>
      <c r="C52" s="23" t="n">
        <f aca="false">IF(A52="","",$B$10)</f>
        <v>23303.279695838</v>
      </c>
      <c r="D52" s="23" t="n">
        <f aca="false">IF(A52="","",B52*$B$8)</f>
        <v>18675.5436016582</v>
      </c>
      <c r="E52" s="23" t="n">
        <f aca="false">IF(A52="","",C52-D52)</f>
        <v>4627.73609417975</v>
      </c>
      <c r="F52" s="23" t="n">
        <f aca="false">IF(A52="","",B52-E52)</f>
        <v>2354388.29779949</v>
      </c>
    </row>
    <row r="53" customFormat="false" ht="15" hidden="false" customHeight="false" outlineLevel="0" collapsed="false">
      <c r="A53" s="22" t="n">
        <f aca="false">IF(A52="","",IF(A52+1&lt;=$B$9,A52+1,""))</f>
        <v>37</v>
      </c>
      <c r="B53" s="23" t="n">
        <f aca="false">IF(A53="","",F52)</f>
        <v>2354388.29779949</v>
      </c>
      <c r="C53" s="23" t="n">
        <f aca="false">IF(A53="","",$B$10)</f>
        <v>23303.279695838</v>
      </c>
      <c r="D53" s="23" t="n">
        <f aca="false">IF(A53="","",B53*$B$8)</f>
        <v>18638.9073575793</v>
      </c>
      <c r="E53" s="23" t="n">
        <f aca="false">IF(A53="","",C53-D53)</f>
        <v>4664.37233825867</v>
      </c>
      <c r="F53" s="23" t="n">
        <f aca="false">IF(A53="","",B53-E53)</f>
        <v>2349723.92546123</v>
      </c>
    </row>
    <row r="54" customFormat="false" ht="15" hidden="false" customHeight="false" outlineLevel="0" collapsed="false">
      <c r="A54" s="22" t="n">
        <f aca="false">IF(A53="","",IF(A53+1&lt;=$B$9,A53+1,""))</f>
        <v>38</v>
      </c>
      <c r="B54" s="23" t="n">
        <f aca="false">IF(A54="","",F53)</f>
        <v>2349723.92546123</v>
      </c>
      <c r="C54" s="23" t="n">
        <f aca="false">IF(A54="","",$B$10)</f>
        <v>23303.279695838</v>
      </c>
      <c r="D54" s="23" t="n">
        <f aca="false">IF(A54="","",B54*$B$8)</f>
        <v>18601.9810765681</v>
      </c>
      <c r="E54" s="23" t="n">
        <f aca="false">IF(A54="","",C54-D54)</f>
        <v>4701.29861926988</v>
      </c>
      <c r="F54" s="23" t="n">
        <f aca="false">IF(A54="","",B54-E54)</f>
        <v>2345022.62684196</v>
      </c>
    </row>
    <row r="55" customFormat="false" ht="15" hidden="false" customHeight="false" outlineLevel="0" collapsed="false">
      <c r="A55" s="22" t="n">
        <f aca="false">IF(A54="","",IF(A54+1&lt;=$B$9,A54+1,""))</f>
        <v>39</v>
      </c>
      <c r="B55" s="23" t="n">
        <f aca="false">IF(A55="","",F54)</f>
        <v>2345022.62684196</v>
      </c>
      <c r="C55" s="23" t="n">
        <f aca="false">IF(A55="","",$B$10)</f>
        <v>23303.279695838</v>
      </c>
      <c r="D55" s="23" t="n">
        <f aca="false">IF(A55="","",B55*$B$8)</f>
        <v>18564.7624624989</v>
      </c>
      <c r="E55" s="23" t="n">
        <f aca="false">IF(A55="","",C55-D55)</f>
        <v>4738.5172333391</v>
      </c>
      <c r="F55" s="23" t="n">
        <f aca="false">IF(A55="","",B55-E55)</f>
        <v>2340284.10960862</v>
      </c>
    </row>
    <row r="56" customFormat="false" ht="15" hidden="false" customHeight="false" outlineLevel="0" collapsed="false">
      <c r="A56" s="22" t="n">
        <f aca="false">IF(A55="","",IF(A55+1&lt;=$B$9,A55+1,""))</f>
        <v>40</v>
      </c>
      <c r="B56" s="23" t="n">
        <f aca="false">IF(A56="","",F55)</f>
        <v>2340284.10960862</v>
      </c>
      <c r="C56" s="23" t="n">
        <f aca="false">IF(A56="","",$B$10)</f>
        <v>23303.279695838</v>
      </c>
      <c r="D56" s="23" t="n">
        <f aca="false">IF(A56="","",B56*$B$8)</f>
        <v>18527.2492010683</v>
      </c>
      <c r="E56" s="23" t="n">
        <f aca="false">IF(A56="","",C56-D56)</f>
        <v>4776.0304947697</v>
      </c>
      <c r="F56" s="23" t="n">
        <f aca="false">IF(A56="","",B56-E56)</f>
        <v>2335508.07911385</v>
      </c>
    </row>
    <row r="57" customFormat="false" ht="15" hidden="false" customHeight="false" outlineLevel="0" collapsed="false">
      <c r="A57" s="22" t="n">
        <f aca="false">IF(A56="","",IF(A56+1&lt;=$B$9,A56+1,""))</f>
        <v>41</v>
      </c>
      <c r="B57" s="23" t="n">
        <f aca="false">IF(A57="","",F56)</f>
        <v>2335508.07911385</v>
      </c>
      <c r="C57" s="23" t="n">
        <f aca="false">IF(A57="","",$B$10)</f>
        <v>23303.279695838</v>
      </c>
      <c r="D57" s="23" t="n">
        <f aca="false">IF(A57="","",B57*$B$8)</f>
        <v>18489.4389596513</v>
      </c>
      <c r="E57" s="23" t="n">
        <f aca="false">IF(A57="","",C57-D57)</f>
        <v>4813.84073618663</v>
      </c>
      <c r="F57" s="23" t="n">
        <f aca="false">IF(A57="","",B57-E57)</f>
        <v>2330694.23837766</v>
      </c>
    </row>
    <row r="58" customFormat="false" ht="15" hidden="false" customHeight="false" outlineLevel="0" collapsed="false">
      <c r="A58" s="22" t="n">
        <f aca="false">IF(A57="","",IF(A57+1&lt;=$B$9,A57+1,""))</f>
        <v>42</v>
      </c>
      <c r="B58" s="23" t="n">
        <f aca="false">IF(A58="","",F57)</f>
        <v>2330694.23837766</v>
      </c>
      <c r="C58" s="23" t="n">
        <f aca="false">IF(A58="","",$B$10)</f>
        <v>23303.279695838</v>
      </c>
      <c r="D58" s="23" t="n">
        <f aca="false">IF(A58="","",B58*$B$8)</f>
        <v>18451.3293871565</v>
      </c>
      <c r="E58" s="23" t="n">
        <f aca="false">IF(A58="","",C58-D58)</f>
        <v>4851.95030868144</v>
      </c>
      <c r="F58" s="23" t="n">
        <f aca="false">IF(A58="","",B58-E58)</f>
        <v>2325842.28806898</v>
      </c>
    </row>
    <row r="59" customFormat="false" ht="15" hidden="false" customHeight="false" outlineLevel="0" collapsed="false">
      <c r="A59" s="22" t="n">
        <f aca="false">IF(A58="","",IF(A58+1&lt;=$B$9,A58+1,""))</f>
        <v>43</v>
      </c>
      <c r="B59" s="23" t="n">
        <f aca="false">IF(A59="","",F58)</f>
        <v>2325842.28806898</v>
      </c>
      <c r="C59" s="23" t="n">
        <f aca="false">IF(A59="","",$B$10)</f>
        <v>23303.279695838</v>
      </c>
      <c r="D59" s="23" t="n">
        <f aca="false">IF(A59="","",B59*$B$8)</f>
        <v>18412.9181138795</v>
      </c>
      <c r="E59" s="23" t="n">
        <f aca="false">IF(A59="","",C59-D59)</f>
        <v>4890.3615819585</v>
      </c>
      <c r="F59" s="23" t="n">
        <f aca="false">IF(A59="","",B59-E59)</f>
        <v>2320951.92648703</v>
      </c>
    </row>
    <row r="60" customFormat="false" ht="15" hidden="false" customHeight="false" outlineLevel="0" collapsed="false">
      <c r="A60" s="22" t="n">
        <f aca="false">IF(A59="","",IF(A59+1&lt;=$B$9,A59+1,""))</f>
        <v>44</v>
      </c>
      <c r="B60" s="23" t="n">
        <f aca="false">IF(A60="","",F59)</f>
        <v>2320951.92648703</v>
      </c>
      <c r="C60" s="23" t="n">
        <f aca="false">IF(A60="","",$B$10)</f>
        <v>23303.279695838</v>
      </c>
      <c r="D60" s="23" t="n">
        <f aca="false">IF(A60="","",B60*$B$8)</f>
        <v>18374.2027513556</v>
      </c>
      <c r="E60" s="23" t="n">
        <f aca="false">IF(A60="","",C60-D60)</f>
        <v>4929.07694448233</v>
      </c>
      <c r="F60" s="23" t="n">
        <f aca="false">IF(A60="","",B60-E60)</f>
        <v>2316022.84954254</v>
      </c>
    </row>
    <row r="61" customFormat="false" ht="15" hidden="false" customHeight="false" outlineLevel="0" collapsed="false">
      <c r="A61" s="22" t="n">
        <f aca="false">IF(A60="","",IF(A60+1&lt;=$B$9,A60+1,""))</f>
        <v>45</v>
      </c>
      <c r="B61" s="23" t="n">
        <f aca="false">IF(A61="","",F60)</f>
        <v>2316022.84954254</v>
      </c>
      <c r="C61" s="23" t="n">
        <f aca="false">IF(A61="","",$B$10)</f>
        <v>23303.279695838</v>
      </c>
      <c r="D61" s="23" t="n">
        <f aca="false">IF(A61="","",B61*$B$8)</f>
        <v>18335.1808922118</v>
      </c>
      <c r="E61" s="23" t="n">
        <f aca="false">IF(A61="","",C61-D61)</f>
        <v>4968.09880362616</v>
      </c>
      <c r="F61" s="23" t="n">
        <f aca="false">IF(A61="","",B61-E61)</f>
        <v>2311054.75073892</v>
      </c>
    </row>
    <row r="62" customFormat="false" ht="15" hidden="false" customHeight="false" outlineLevel="0" collapsed="false">
      <c r="A62" s="22" t="n">
        <f aca="false">IF(A61="","",IF(A61+1&lt;=$B$9,A61+1,""))</f>
        <v>46</v>
      </c>
      <c r="B62" s="23" t="n">
        <f aca="false">IF(A62="","",F61)</f>
        <v>2311054.75073892</v>
      </c>
      <c r="C62" s="23" t="n">
        <f aca="false">IF(A62="","",$B$10)</f>
        <v>23303.279695838</v>
      </c>
      <c r="D62" s="23" t="n">
        <f aca="false">IF(A62="","",B62*$B$8)</f>
        <v>18295.8501100164</v>
      </c>
      <c r="E62" s="23" t="n">
        <f aca="false">IF(A62="","",C62-D62)</f>
        <v>5007.42958582153</v>
      </c>
      <c r="F62" s="23" t="n">
        <f aca="false">IF(A62="","",B62-E62)</f>
        <v>2306047.32115309</v>
      </c>
    </row>
    <row r="63" customFormat="false" ht="15" hidden="false" customHeight="false" outlineLevel="0" collapsed="false">
      <c r="A63" s="22" t="n">
        <f aca="false">IF(A62="","",IF(A62+1&lt;=$B$9,A62+1,""))</f>
        <v>47</v>
      </c>
      <c r="B63" s="23" t="n">
        <f aca="false">IF(A63="","",F62)</f>
        <v>2306047.32115309</v>
      </c>
      <c r="C63" s="23" t="n">
        <f aca="false">IF(A63="","",$B$10)</f>
        <v>23303.279695838</v>
      </c>
      <c r="D63" s="23" t="n">
        <f aca="false">IF(A63="","",B63*$B$8)</f>
        <v>18256.2079591287</v>
      </c>
      <c r="E63" s="23" t="n">
        <f aca="false">IF(A63="","",C63-D63)</f>
        <v>5047.07173670928</v>
      </c>
      <c r="F63" s="23" t="n">
        <f aca="false">IF(A63="","",B63-E63)</f>
        <v>2301000.24941639</v>
      </c>
    </row>
    <row r="64" customFormat="false" ht="15" hidden="false" customHeight="false" outlineLevel="0" collapsed="false">
      <c r="A64" s="22" t="n">
        <f aca="false">IF(A63="","",IF(A63+1&lt;=$B$9,A63+1,""))</f>
        <v>48</v>
      </c>
      <c r="B64" s="23" t="n">
        <f aca="false">IF(A64="","",F63)</f>
        <v>2301000.24941639</v>
      </c>
      <c r="C64" s="23" t="n">
        <f aca="false">IF(A64="","",$B$10)</f>
        <v>23303.279695838</v>
      </c>
      <c r="D64" s="23" t="n">
        <f aca="false">IF(A64="","",B64*$B$8)</f>
        <v>18216.2519745464</v>
      </c>
      <c r="E64" s="23" t="n">
        <f aca="false">IF(A64="","",C64-D64)</f>
        <v>5087.02772129156</v>
      </c>
      <c r="F64" s="23" t="n">
        <f aca="false">IF(A64="","",B64-E64)</f>
        <v>2295913.22169509</v>
      </c>
    </row>
    <row r="65" customFormat="false" ht="15" hidden="false" customHeight="false" outlineLevel="0" collapsed="false">
      <c r="A65" s="22" t="n">
        <f aca="false">IF(A64="","",IF(A64+1&lt;=$B$9,A64+1,""))</f>
        <v>49</v>
      </c>
      <c r="B65" s="23" t="n">
        <f aca="false">IF(A65="","",F64)</f>
        <v>2295913.22169509</v>
      </c>
      <c r="C65" s="23" t="n">
        <f aca="false">IF(A65="","",$B$10)</f>
        <v>23303.279695838</v>
      </c>
      <c r="D65" s="23" t="n">
        <f aca="false">IF(A65="","",B65*$B$8)</f>
        <v>18175.9796717528</v>
      </c>
      <c r="E65" s="23" t="n">
        <f aca="false">IF(A65="","",C65-D65)</f>
        <v>5127.30002408512</v>
      </c>
      <c r="F65" s="23" t="n">
        <f aca="false">IF(A65="","",B65-E65)</f>
        <v>2290785.92167101</v>
      </c>
    </row>
    <row r="66" customFormat="false" ht="15" hidden="false" customHeight="false" outlineLevel="0" collapsed="false">
      <c r="A66" s="22" t="n">
        <f aca="false">IF(A65="","",IF(A65+1&lt;=$B$9,A65+1,""))</f>
        <v>50</v>
      </c>
      <c r="B66" s="23" t="n">
        <f aca="false">IF(A66="","",F65)</f>
        <v>2290785.92167101</v>
      </c>
      <c r="C66" s="23" t="n">
        <f aca="false">IF(A66="","",$B$10)</f>
        <v>23303.279695838</v>
      </c>
      <c r="D66" s="23" t="n">
        <f aca="false">IF(A66="","",B66*$B$8)</f>
        <v>18135.3885465622</v>
      </c>
      <c r="E66" s="23" t="n">
        <f aca="false">IF(A66="","",C66-D66)</f>
        <v>5167.8911492758</v>
      </c>
      <c r="F66" s="23" t="n">
        <f aca="false">IF(A66="","",B66-E66)</f>
        <v>2285618.03052173</v>
      </c>
    </row>
    <row r="67" customFormat="false" ht="15" hidden="false" customHeight="false" outlineLevel="0" collapsed="false">
      <c r="A67" s="22" t="n">
        <f aca="false">IF(A66="","",IF(A66+1&lt;=$B$9,A66+1,""))</f>
        <v>51</v>
      </c>
      <c r="B67" s="23" t="n">
        <f aca="false">IF(A67="","",F66)</f>
        <v>2285618.03052173</v>
      </c>
      <c r="C67" s="23" t="n">
        <f aca="false">IF(A67="","",$B$10)</f>
        <v>23303.279695838</v>
      </c>
      <c r="D67" s="23" t="n">
        <f aca="false">IF(A67="","",B67*$B$8)</f>
        <v>18094.4760749637</v>
      </c>
      <c r="E67" s="23" t="n">
        <f aca="false">IF(A67="","",C67-D67)</f>
        <v>5208.80362087423</v>
      </c>
      <c r="F67" s="23" t="n">
        <f aca="false">IF(A67="","",B67-E67)</f>
        <v>2280409.22690086</v>
      </c>
    </row>
    <row r="68" customFormat="false" ht="15" hidden="false" customHeight="false" outlineLevel="0" collapsed="false">
      <c r="A68" s="22" t="n">
        <f aca="false">IF(A67="","",IF(A67+1&lt;=$B$9,A67+1,""))</f>
        <v>52</v>
      </c>
      <c r="B68" s="23" t="n">
        <f aca="false">IF(A68="","",F67)</f>
        <v>2280409.22690086</v>
      </c>
      <c r="C68" s="23" t="n">
        <f aca="false">IF(A68="","",$B$10)</f>
        <v>23303.279695838</v>
      </c>
      <c r="D68" s="23" t="n">
        <f aca="false">IF(A68="","",B68*$B$8)</f>
        <v>18053.2397129651</v>
      </c>
      <c r="E68" s="23" t="n">
        <f aca="false">IF(A68="","",C68-D68)</f>
        <v>5250.03998287282</v>
      </c>
      <c r="F68" s="23" t="n">
        <f aca="false">IF(A68="","",B68-E68)</f>
        <v>2275159.18691799</v>
      </c>
    </row>
    <row r="69" customFormat="false" ht="15" hidden="false" customHeight="false" outlineLevel="0" collapsed="false">
      <c r="A69" s="22" t="n">
        <f aca="false">IF(A68="","",IF(A68+1&lt;=$B$9,A68+1,""))</f>
        <v>53</v>
      </c>
      <c r="B69" s="23" t="n">
        <f aca="false">IF(A69="","",F68)</f>
        <v>2275159.18691799</v>
      </c>
      <c r="C69" s="23" t="n">
        <f aca="false">IF(A69="","",$B$10)</f>
        <v>23303.279695838</v>
      </c>
      <c r="D69" s="23" t="n">
        <f aca="false">IF(A69="","",B69*$B$8)</f>
        <v>18011.6768964341</v>
      </c>
      <c r="E69" s="23" t="n">
        <f aca="false">IF(A69="","",C69-D69)</f>
        <v>5291.6027994039</v>
      </c>
      <c r="F69" s="23" t="n">
        <f aca="false">IF(A69="","",B69-E69)</f>
        <v>2269867.58411858</v>
      </c>
    </row>
    <row r="70" customFormat="false" ht="15" hidden="false" customHeight="false" outlineLevel="0" collapsed="false">
      <c r="A70" s="22" t="n">
        <f aca="false">IF(A69="","",IF(A69+1&lt;=$B$9,A69+1,""))</f>
        <v>54</v>
      </c>
      <c r="B70" s="23" t="n">
        <f aca="false">IF(A70="","",F69)</f>
        <v>2269867.58411858</v>
      </c>
      <c r="C70" s="23" t="n">
        <f aca="false">IF(A70="","",$B$10)</f>
        <v>23303.279695838</v>
      </c>
      <c r="D70" s="23" t="n">
        <f aca="false">IF(A70="","",B70*$B$8)</f>
        <v>17969.7850409388</v>
      </c>
      <c r="E70" s="23" t="n">
        <f aca="false">IF(A70="","",C70-D70)</f>
        <v>5333.49465489918</v>
      </c>
      <c r="F70" s="23" t="n">
        <f aca="false">IF(A70="","",B70-E70)</f>
        <v>2264534.08946368</v>
      </c>
    </row>
    <row r="71" customFormat="false" ht="15" hidden="false" customHeight="false" outlineLevel="0" collapsed="false">
      <c r="A71" s="22" t="n">
        <f aca="false">IF(A70="","",IF(A70+1&lt;=$B$9,A70+1,""))</f>
        <v>55</v>
      </c>
      <c r="B71" s="23" t="n">
        <f aca="false">IF(A71="","",F70)</f>
        <v>2264534.08946368</v>
      </c>
      <c r="C71" s="23" t="n">
        <f aca="false">IF(A71="","",$B$10)</f>
        <v>23303.279695838</v>
      </c>
      <c r="D71" s="23" t="n">
        <f aca="false">IF(A71="","",B71*$B$8)</f>
        <v>17927.5615415875</v>
      </c>
      <c r="E71" s="23" t="n">
        <f aca="false">IF(A71="","",C71-D71)</f>
        <v>5375.71815425047</v>
      </c>
      <c r="F71" s="23" t="n">
        <f aca="false">IF(A71="","",B71-E71)</f>
        <v>2259158.37130943</v>
      </c>
    </row>
    <row r="72" customFormat="false" ht="15" hidden="false" customHeight="false" outlineLevel="0" collapsed="false">
      <c r="A72" s="22" t="n">
        <f aca="false">IF(A71="","",IF(A71+1&lt;=$B$9,A71+1,""))</f>
        <v>56</v>
      </c>
      <c r="B72" s="23" t="n">
        <f aca="false">IF(A72="","",F71)</f>
        <v>2259158.37130943</v>
      </c>
      <c r="C72" s="23" t="n">
        <f aca="false">IF(A72="","",$B$10)</f>
        <v>23303.279695838</v>
      </c>
      <c r="D72" s="23" t="n">
        <f aca="false">IF(A72="","",B72*$B$8)</f>
        <v>17885.0037728663</v>
      </c>
      <c r="E72" s="23" t="n">
        <f aca="false">IF(A72="","",C72-D72)</f>
        <v>5418.27592297161</v>
      </c>
      <c r="F72" s="23" t="n">
        <f aca="false">IF(A72="","",B72-E72)</f>
        <v>2253740.09538646</v>
      </c>
    </row>
    <row r="73" customFormat="false" ht="15" hidden="false" customHeight="false" outlineLevel="0" collapsed="false">
      <c r="A73" s="22" t="n">
        <f aca="false">IF(A72="","",IF(A72+1&lt;=$B$9,A72+1,""))</f>
        <v>57</v>
      </c>
      <c r="B73" s="23" t="n">
        <f aca="false">IF(A73="","",F72)</f>
        <v>2253740.09538646</v>
      </c>
      <c r="C73" s="23" t="n">
        <f aca="false">IF(A73="","",$B$10)</f>
        <v>23303.279695838</v>
      </c>
      <c r="D73" s="23" t="n">
        <f aca="false">IF(A73="","",B73*$B$8)</f>
        <v>17842.1090884761</v>
      </c>
      <c r="E73" s="23" t="n">
        <f aca="false">IF(A73="","",C73-D73)</f>
        <v>5461.17060736181</v>
      </c>
      <c r="F73" s="23" t="n">
        <f aca="false">IF(A73="","",B73-E73)</f>
        <v>2248278.9247791</v>
      </c>
    </row>
    <row r="74" customFormat="false" ht="15" hidden="false" customHeight="false" outlineLevel="0" collapsed="false">
      <c r="A74" s="22" t="n">
        <f aca="false">IF(A73="","",IF(A73+1&lt;=$B$9,A73+1,""))</f>
        <v>58</v>
      </c>
      <c r="B74" s="23" t="n">
        <f aca="false">IF(A74="","",F73)</f>
        <v>2248278.9247791</v>
      </c>
      <c r="C74" s="23" t="n">
        <f aca="false">IF(A74="","",$B$10)</f>
        <v>23303.279695838</v>
      </c>
      <c r="D74" s="23" t="n">
        <f aca="false">IF(A74="","",B74*$B$8)</f>
        <v>17798.8748211679</v>
      </c>
      <c r="E74" s="23" t="n">
        <f aca="false">IF(A74="","",C74-D74)</f>
        <v>5504.40487467009</v>
      </c>
      <c r="F74" s="23" t="n">
        <f aca="false">IF(A74="","",B74-E74)</f>
        <v>2242774.51990443</v>
      </c>
    </row>
    <row r="75" customFormat="false" ht="15" hidden="false" customHeight="false" outlineLevel="0" collapsed="false">
      <c r="A75" s="22" t="n">
        <f aca="false">IF(A74="","",IF(A74+1&lt;=$B$9,A74+1,""))</f>
        <v>59</v>
      </c>
      <c r="B75" s="23" t="n">
        <f aca="false">IF(A75="","",F74)</f>
        <v>2242774.51990443</v>
      </c>
      <c r="C75" s="23" t="n">
        <f aca="false">IF(A75="","",$B$10)</f>
        <v>23303.279695838</v>
      </c>
      <c r="D75" s="23" t="n">
        <f aca="false">IF(A75="","",B75*$B$8)</f>
        <v>17755.2982825767</v>
      </c>
      <c r="E75" s="23" t="n">
        <f aca="false">IF(A75="","",C75-D75)</f>
        <v>5547.98141326123</v>
      </c>
      <c r="F75" s="23" t="n">
        <f aca="false">IF(A75="","",B75-E75)</f>
        <v>2237226.53849117</v>
      </c>
    </row>
    <row r="76" customFormat="false" ht="15" hidden="false" customHeight="false" outlineLevel="0" collapsed="false">
      <c r="A76" s="22" t="n">
        <f aca="false">IF(A75="","",IF(A75+1&lt;=$B$9,A75+1,""))</f>
        <v>60</v>
      </c>
      <c r="B76" s="23" t="n">
        <f aca="false">IF(A76="","",F75)</f>
        <v>2237226.53849117</v>
      </c>
      <c r="C76" s="23" t="n">
        <f aca="false">IF(A76="","",$B$10)</f>
        <v>23303.279695838</v>
      </c>
      <c r="D76" s="23" t="n">
        <f aca="false">IF(A76="","",B76*$B$8)</f>
        <v>17711.3767630551</v>
      </c>
      <c r="E76" s="23" t="n">
        <f aca="false">IF(A76="","",C76-D76)</f>
        <v>5591.90293278288</v>
      </c>
      <c r="F76" s="23" t="n">
        <f aca="false">IF(A76="","",B76-E76)</f>
        <v>2231634.63555838</v>
      </c>
    </row>
    <row r="77" customFormat="false" ht="15" hidden="false" customHeight="false" outlineLevel="0" collapsed="false">
      <c r="A77" s="22" t="n">
        <f aca="false">IF(A76="","",IF(A76+1&lt;=$B$9,A76+1,""))</f>
        <v>61</v>
      </c>
      <c r="B77" s="23" t="n">
        <f aca="false">IF(A77="","",F76)</f>
        <v>2231634.63555838</v>
      </c>
      <c r="C77" s="23" t="n">
        <f aca="false">IF(A77="","",$B$10)</f>
        <v>23303.279695838</v>
      </c>
      <c r="D77" s="23" t="n">
        <f aca="false">IF(A77="","",B77*$B$8)</f>
        <v>17667.1075315039</v>
      </c>
      <c r="E77" s="23" t="n">
        <f aca="false">IF(A77="","",C77-D77)</f>
        <v>5636.17216433408</v>
      </c>
      <c r="F77" s="23" t="n">
        <f aca="false">IF(A77="","",B77-E77)</f>
        <v>2225998.46339405</v>
      </c>
    </row>
    <row r="78" customFormat="false" ht="15" hidden="false" customHeight="false" outlineLevel="0" collapsed="false">
      <c r="A78" s="22" t="n">
        <f aca="false">IF(A77="","",IF(A77+1&lt;=$B$9,A77+1,""))</f>
        <v>62</v>
      </c>
      <c r="B78" s="23" t="n">
        <f aca="false">IF(A78="","",F77)</f>
        <v>2225998.46339405</v>
      </c>
      <c r="C78" s="23" t="n">
        <f aca="false">IF(A78="","",$B$10)</f>
        <v>23303.279695838</v>
      </c>
      <c r="D78" s="23" t="n">
        <f aca="false">IF(A78="","",B78*$B$8)</f>
        <v>17622.4878352029</v>
      </c>
      <c r="E78" s="23" t="n">
        <f aca="false">IF(A78="","",C78-D78)</f>
        <v>5680.79186063505</v>
      </c>
      <c r="F78" s="23" t="n">
        <f aca="false">IF(A78="","",B78-E78)</f>
        <v>2220317.67153342</v>
      </c>
    </row>
    <row r="79" customFormat="false" ht="15" hidden="false" customHeight="false" outlineLevel="0" collapsed="false">
      <c r="A79" s="22" t="n">
        <f aca="false">IF(A78="","",IF(A78+1&lt;=$B$9,A78+1,""))</f>
        <v>63</v>
      </c>
      <c r="B79" s="23" t="n">
        <f aca="false">IF(A79="","",F78)</f>
        <v>2220317.67153342</v>
      </c>
      <c r="C79" s="23" t="n">
        <f aca="false">IF(A79="","",$B$10)</f>
        <v>23303.279695838</v>
      </c>
      <c r="D79" s="23" t="n">
        <f aca="false">IF(A79="","",B79*$B$8)</f>
        <v>17577.5148996395</v>
      </c>
      <c r="E79" s="23" t="n">
        <f aca="false">IF(A79="","",C79-D79)</f>
        <v>5725.76479619842</v>
      </c>
      <c r="F79" s="23" t="n">
        <f aca="false">IF(A79="","",B79-E79)</f>
        <v>2214591.90673722</v>
      </c>
    </row>
    <row r="80" customFormat="false" ht="15" hidden="false" customHeight="false" outlineLevel="0" collapsed="false">
      <c r="A80" s="22" t="n">
        <f aca="false">IF(A79="","",IF(A79+1&lt;=$B$9,A79+1,""))</f>
        <v>64</v>
      </c>
      <c r="B80" s="23" t="n">
        <f aca="false">IF(A80="","",F79)</f>
        <v>2214591.90673722</v>
      </c>
      <c r="C80" s="23" t="n">
        <f aca="false">IF(A80="","",$B$10)</f>
        <v>23303.279695838</v>
      </c>
      <c r="D80" s="23" t="n">
        <f aca="false">IF(A80="","",B80*$B$8)</f>
        <v>17532.1859283363</v>
      </c>
      <c r="E80" s="23" t="n">
        <f aca="false">IF(A80="","",C80-D80)</f>
        <v>5771.09376750165</v>
      </c>
      <c r="F80" s="23" t="n">
        <f aca="false">IF(A80="","",B80-E80)</f>
        <v>2208820.81296972</v>
      </c>
    </row>
    <row r="81" customFormat="false" ht="15" hidden="false" customHeight="false" outlineLevel="0" collapsed="false">
      <c r="A81" s="22" t="n">
        <f aca="false">IF(A80="","",IF(A80+1&lt;=$B$9,A80+1,""))</f>
        <v>65</v>
      </c>
      <c r="B81" s="23" t="n">
        <f aca="false">IF(A81="","",F80)</f>
        <v>2208820.81296972</v>
      </c>
      <c r="C81" s="23" t="n">
        <f aca="false">IF(A81="","",$B$10)</f>
        <v>23303.279695838</v>
      </c>
      <c r="D81" s="23" t="n">
        <f aca="false">IF(A81="","",B81*$B$8)</f>
        <v>17486.4981026769</v>
      </c>
      <c r="E81" s="23" t="n">
        <f aca="false">IF(A81="","",C81-D81)</f>
        <v>5816.78159316104</v>
      </c>
      <c r="F81" s="23" t="n">
        <f aca="false">IF(A81="","",B81-E81)</f>
        <v>2203004.03137655</v>
      </c>
    </row>
    <row r="82" customFormat="false" ht="15" hidden="false" customHeight="false" outlineLevel="0" collapsed="false">
      <c r="A82" s="22" t="n">
        <f aca="false">IF(A81="","",IF(A81+1&lt;=$B$9,A81+1,""))</f>
        <v>66</v>
      </c>
      <c r="B82" s="23" t="n">
        <f aca="false">IF(A82="","",F81)</f>
        <v>2203004.03137655</v>
      </c>
      <c r="C82" s="23" t="n">
        <f aca="false">IF(A82="","",$B$10)</f>
        <v>23303.279695838</v>
      </c>
      <c r="D82" s="23" t="n">
        <f aca="false">IF(A82="","",B82*$B$8)</f>
        <v>17440.4485817311</v>
      </c>
      <c r="E82" s="23" t="n">
        <f aca="false">IF(A82="","",C82-D82)</f>
        <v>5862.8311141069</v>
      </c>
      <c r="F82" s="23" t="n">
        <f aca="false">IF(A82="","",B82-E82)</f>
        <v>2197141.20026245</v>
      </c>
    </row>
    <row r="83" customFormat="false" ht="15" hidden="false" customHeight="false" outlineLevel="0" collapsed="false">
      <c r="A83" s="22" t="n">
        <f aca="false">IF(A82="","",IF(A82+1&lt;=$B$9,A82+1,""))</f>
        <v>67</v>
      </c>
      <c r="B83" s="23" t="n">
        <f aca="false">IF(A83="","",F82)</f>
        <v>2197141.20026245</v>
      </c>
      <c r="C83" s="23" t="n">
        <f aca="false">IF(A83="","",$B$10)</f>
        <v>23303.279695838</v>
      </c>
      <c r="D83" s="23" t="n">
        <f aca="false">IF(A83="","",B83*$B$8)</f>
        <v>17394.0345020777</v>
      </c>
      <c r="E83" s="23" t="n">
        <f aca="false">IF(A83="","",C83-D83)</f>
        <v>5909.24519376025</v>
      </c>
      <c r="F83" s="23" t="n">
        <f aca="false">IF(A83="","",B83-E83)</f>
        <v>2191231.95506869</v>
      </c>
    </row>
    <row r="84" customFormat="false" ht="15" hidden="false" customHeight="false" outlineLevel="0" collapsed="false">
      <c r="A84" s="22" t="n">
        <f aca="false">IF(A83="","",IF(A83+1&lt;=$B$9,A83+1,""))</f>
        <v>68</v>
      </c>
      <c r="B84" s="23" t="n">
        <f aca="false">IF(A84="","",F83)</f>
        <v>2191231.95506869</v>
      </c>
      <c r="C84" s="23" t="n">
        <f aca="false">IF(A84="","",$B$10)</f>
        <v>23303.279695838</v>
      </c>
      <c r="D84" s="23" t="n">
        <f aca="false">IF(A84="","",B84*$B$8)</f>
        <v>17347.2529776271</v>
      </c>
      <c r="E84" s="23" t="n">
        <f aca="false">IF(A84="","",C84-D84)</f>
        <v>5956.02671821085</v>
      </c>
      <c r="F84" s="23" t="n">
        <f aca="false">IF(A84="","",B84-E84)</f>
        <v>2185275.92835048</v>
      </c>
    </row>
    <row r="85" customFormat="false" ht="15" hidden="false" customHeight="false" outlineLevel="0" collapsed="false">
      <c r="A85" s="22" t="n">
        <f aca="false">IF(A84="","",IF(A84+1&lt;=$B$9,A84+1,""))</f>
        <v>69</v>
      </c>
      <c r="B85" s="23" t="n">
        <f aca="false">IF(A85="","",F84)</f>
        <v>2185275.92835048</v>
      </c>
      <c r="C85" s="23" t="n">
        <f aca="false">IF(A85="","",$B$10)</f>
        <v>23303.279695838</v>
      </c>
      <c r="D85" s="23" t="n">
        <f aca="false">IF(A85="","",B85*$B$8)</f>
        <v>17300.1010994413</v>
      </c>
      <c r="E85" s="23" t="n">
        <f aca="false">IF(A85="","",C85-D85)</f>
        <v>6003.17859639668</v>
      </c>
      <c r="F85" s="23" t="n">
        <f aca="false">IF(A85="","",B85-E85)</f>
        <v>2179272.74975408</v>
      </c>
    </row>
    <row r="86" customFormat="false" ht="15" hidden="false" customHeight="false" outlineLevel="0" collapsed="false">
      <c r="A86" s="22" t="n">
        <f aca="false">IF(A85="","",IF(A85+1&lt;=$B$9,A85+1,""))</f>
        <v>70</v>
      </c>
      <c r="B86" s="23" t="n">
        <f aca="false">IF(A86="","",F85)</f>
        <v>2179272.74975408</v>
      </c>
      <c r="C86" s="23" t="n">
        <f aca="false">IF(A86="","",$B$10)</f>
        <v>23303.279695838</v>
      </c>
      <c r="D86" s="23" t="n">
        <f aca="false">IF(A86="","",B86*$B$8)</f>
        <v>17252.5759355531</v>
      </c>
      <c r="E86" s="23" t="n">
        <f aca="false">IF(A86="","",C86-D86)</f>
        <v>6050.70376028483</v>
      </c>
      <c r="F86" s="23" t="n">
        <f aca="false">IF(A86="","",B86-E86)</f>
        <v>2173222.04599379</v>
      </c>
    </row>
    <row r="87" customFormat="false" ht="15" hidden="false" customHeight="false" outlineLevel="0" collapsed="false">
      <c r="A87" s="22" t="n">
        <f aca="false">IF(A86="","",IF(A86+1&lt;=$B$9,A86+1,""))</f>
        <v>71</v>
      </c>
      <c r="B87" s="23" t="n">
        <f aca="false">IF(A87="","",F86)</f>
        <v>2173222.04599379</v>
      </c>
      <c r="C87" s="23" t="n">
        <f aca="false">IF(A87="","",$B$10)</f>
        <v>23303.279695838</v>
      </c>
      <c r="D87" s="23" t="n">
        <f aca="false">IF(A87="","",B87*$B$8)</f>
        <v>17204.6745307842</v>
      </c>
      <c r="E87" s="23" t="n">
        <f aca="false">IF(A87="","",C87-D87)</f>
        <v>6098.60516505375</v>
      </c>
      <c r="F87" s="23" t="n">
        <f aca="false">IF(A87="","",B87-E87)</f>
        <v>2167123.44082874</v>
      </c>
    </row>
    <row r="88" customFormat="false" ht="15" hidden="false" customHeight="false" outlineLevel="0" collapsed="false">
      <c r="A88" s="22" t="n">
        <f aca="false">IF(A87="","",IF(A87+1&lt;=$B$9,A87+1,""))</f>
        <v>72</v>
      </c>
      <c r="B88" s="23" t="n">
        <f aca="false">IF(A88="","",F87)</f>
        <v>2167123.44082874</v>
      </c>
      <c r="C88" s="23" t="n">
        <f aca="false">IF(A88="","",$B$10)</f>
        <v>23303.279695838</v>
      </c>
      <c r="D88" s="23" t="n">
        <f aca="false">IF(A88="","",B88*$B$8)</f>
        <v>17156.3939065609</v>
      </c>
      <c r="E88" s="23" t="n">
        <f aca="false">IF(A88="","",C88-D88)</f>
        <v>6146.88578927709</v>
      </c>
      <c r="F88" s="23" t="n">
        <f aca="false">IF(A88="","",B88-E88)</f>
        <v>2160976.55503946</v>
      </c>
    </row>
    <row r="89" customFormat="false" ht="15" hidden="false" customHeight="false" outlineLevel="0" collapsed="false">
      <c r="A89" s="22" t="n">
        <f aca="false">IF(A88="","",IF(A88+1&lt;=$B$9,A88+1,""))</f>
        <v>73</v>
      </c>
      <c r="B89" s="23" t="n">
        <f aca="false">IF(A89="","",F88)</f>
        <v>2160976.55503946</v>
      </c>
      <c r="C89" s="23" t="n">
        <f aca="false">IF(A89="","",$B$10)</f>
        <v>23303.279695838</v>
      </c>
      <c r="D89" s="23" t="n">
        <f aca="false">IF(A89="","",B89*$B$8)</f>
        <v>17107.7310607291</v>
      </c>
      <c r="E89" s="23" t="n">
        <f aca="false">IF(A89="","",C89-D89)</f>
        <v>6195.54863510886</v>
      </c>
      <c r="F89" s="23" t="n">
        <f aca="false">IF(A89="","",B89-E89)</f>
        <v>2154781.00640435</v>
      </c>
    </row>
    <row r="90" customFormat="false" ht="15" hidden="false" customHeight="false" outlineLevel="0" collapsed="false">
      <c r="A90" s="22" t="n">
        <f aca="false">IF(A89="","",IF(A89+1&lt;=$B$9,A89+1,""))</f>
        <v>74</v>
      </c>
      <c r="B90" s="23" t="n">
        <f aca="false">IF(A90="","",F89)</f>
        <v>2154781.00640435</v>
      </c>
      <c r="C90" s="23" t="n">
        <f aca="false">IF(A90="","",$B$10)</f>
        <v>23303.279695838</v>
      </c>
      <c r="D90" s="23" t="n">
        <f aca="false">IF(A90="","",B90*$B$8)</f>
        <v>17058.6829673678</v>
      </c>
      <c r="E90" s="23" t="n">
        <f aca="false">IF(A90="","",C90-D90)</f>
        <v>6244.59672847014</v>
      </c>
      <c r="F90" s="23" t="n">
        <f aca="false">IF(A90="","",B90-E90)</f>
        <v>2148536.40967588</v>
      </c>
    </row>
    <row r="91" customFormat="false" ht="15" hidden="false" customHeight="false" outlineLevel="0" collapsed="false">
      <c r="A91" s="22" t="n">
        <f aca="false">IF(A90="","",IF(A90+1&lt;=$B$9,A90+1,""))</f>
        <v>75</v>
      </c>
      <c r="B91" s="23" t="n">
        <f aca="false">IF(A91="","",F90)</f>
        <v>2148536.40967588</v>
      </c>
      <c r="C91" s="23" t="n">
        <f aca="false">IF(A91="","",$B$10)</f>
        <v>23303.279695838</v>
      </c>
      <c r="D91" s="23" t="n">
        <f aca="false">IF(A91="","",B91*$B$8)</f>
        <v>17009.2465766008</v>
      </c>
      <c r="E91" s="23" t="n">
        <f aca="false">IF(A91="","",C91-D91)</f>
        <v>6294.0331192372</v>
      </c>
      <c r="F91" s="23" t="n">
        <f aca="false">IF(A91="","",B91-E91)</f>
        <v>2142242.37655665</v>
      </c>
    </row>
    <row r="92" customFormat="false" ht="15" hidden="false" customHeight="false" outlineLevel="0" collapsed="false">
      <c r="A92" s="22" t="n">
        <f aca="false">IF(A91="","",IF(A91+1&lt;=$B$9,A91+1,""))</f>
        <v>76</v>
      </c>
      <c r="B92" s="23" t="n">
        <f aca="false">IF(A92="","",F91)</f>
        <v>2142242.37655665</v>
      </c>
      <c r="C92" s="23" t="n">
        <f aca="false">IF(A92="","",$B$10)</f>
        <v>23303.279695838</v>
      </c>
      <c r="D92" s="23" t="n">
        <f aca="false">IF(A92="","",B92*$B$8)</f>
        <v>16959.4188144068</v>
      </c>
      <c r="E92" s="23" t="n">
        <f aca="false">IF(A92="","",C92-D92)</f>
        <v>6343.86088143116</v>
      </c>
      <c r="F92" s="23" t="n">
        <f aca="false">IF(A92="","",B92-E92)</f>
        <v>2135898.51567522</v>
      </c>
    </row>
    <row r="93" customFormat="false" ht="15" hidden="false" customHeight="false" outlineLevel="0" collapsed="false">
      <c r="A93" s="22" t="n">
        <f aca="false">IF(A92="","",IF(A92+1&lt;=$B$9,A92+1,""))</f>
        <v>77</v>
      </c>
      <c r="B93" s="23" t="n">
        <f aca="false">IF(A93="","",F92)</f>
        <v>2135898.51567522</v>
      </c>
      <c r="C93" s="23" t="n">
        <f aca="false">IF(A93="","",$B$10)</f>
        <v>23303.279695838</v>
      </c>
      <c r="D93" s="23" t="n">
        <f aca="false">IF(A93="","",B93*$B$8)</f>
        <v>16909.1965824288</v>
      </c>
      <c r="E93" s="23" t="n">
        <f aca="false">IF(A93="","",C93-D93)</f>
        <v>6394.08311340915</v>
      </c>
      <c r="F93" s="23" t="n">
        <f aca="false">IF(A93="","",B93-E93)</f>
        <v>2129504.43256181</v>
      </c>
    </row>
    <row r="94" customFormat="false" ht="15" hidden="false" customHeight="false" outlineLevel="0" collapsed="false">
      <c r="A94" s="22" t="n">
        <f aca="false">IF(A93="","",IF(A93+1&lt;=$B$9,A93+1,""))</f>
        <v>78</v>
      </c>
      <c r="B94" s="23" t="n">
        <f aca="false">IF(A94="","",F93)</f>
        <v>2129504.43256181</v>
      </c>
      <c r="C94" s="23" t="n">
        <f aca="false">IF(A94="","",$B$10)</f>
        <v>23303.279695838</v>
      </c>
      <c r="D94" s="23" t="n">
        <f aca="false">IF(A94="","",B94*$B$8)</f>
        <v>16858.576757781</v>
      </c>
      <c r="E94" s="23" t="n">
        <f aca="false">IF(A94="","",C94-D94)</f>
        <v>6444.70293805698</v>
      </c>
      <c r="F94" s="23" t="n">
        <f aca="false">IF(A94="","",B94-E94)</f>
        <v>2123059.72962375</v>
      </c>
    </row>
    <row r="95" customFormat="false" ht="15" hidden="false" customHeight="false" outlineLevel="0" collapsed="false">
      <c r="A95" s="22" t="n">
        <f aca="false">IF(A94="","",IF(A94+1&lt;=$B$9,A94+1,""))</f>
        <v>79</v>
      </c>
      <c r="B95" s="23" t="n">
        <f aca="false">IF(A95="","",F94)</f>
        <v>2123059.72962375</v>
      </c>
      <c r="C95" s="23" t="n">
        <f aca="false">IF(A95="","",$B$10)</f>
        <v>23303.279695838</v>
      </c>
      <c r="D95" s="23" t="n">
        <f aca="false">IF(A95="","",B95*$B$8)</f>
        <v>16807.5561928547</v>
      </c>
      <c r="E95" s="23" t="n">
        <f aca="false">IF(A95="","",C95-D95)</f>
        <v>6495.72350298326</v>
      </c>
      <c r="F95" s="23" t="n">
        <f aca="false">IF(A95="","",B95-E95)</f>
        <v>2116564.00612077</v>
      </c>
    </row>
    <row r="96" customFormat="false" ht="15" hidden="false" customHeight="false" outlineLevel="0" collapsed="false">
      <c r="A96" s="22" t="n">
        <f aca="false">IF(A95="","",IF(A95+1&lt;=$B$9,A95+1,""))</f>
        <v>80</v>
      </c>
      <c r="B96" s="23" t="n">
        <f aca="false">IF(A96="","",F95)</f>
        <v>2116564.00612077</v>
      </c>
      <c r="C96" s="23" t="n">
        <f aca="false">IF(A96="","",$B$10)</f>
        <v>23303.279695838</v>
      </c>
      <c r="D96" s="23" t="n">
        <f aca="false">IF(A96="","",B96*$B$8)</f>
        <v>16756.1317151227</v>
      </c>
      <c r="E96" s="23" t="n">
        <f aca="false">IF(A96="","",C96-D96)</f>
        <v>6547.14798071521</v>
      </c>
      <c r="F96" s="23" t="n">
        <f aca="false">IF(A96="","",B96-E96)</f>
        <v>2110016.85814005</v>
      </c>
    </row>
    <row r="97" customFormat="false" ht="15" hidden="false" customHeight="false" outlineLevel="0" collapsed="false">
      <c r="A97" s="22" t="n">
        <f aca="false">IF(A96="","",IF(A96+1&lt;=$B$9,A96+1,""))</f>
        <v>81</v>
      </c>
      <c r="B97" s="23" t="n">
        <f aca="false">IF(A97="","",F96)</f>
        <v>2110016.85814005</v>
      </c>
      <c r="C97" s="23" t="n">
        <f aca="false">IF(A97="","",$B$10)</f>
        <v>23303.279695838</v>
      </c>
      <c r="D97" s="23" t="n">
        <f aca="false">IF(A97="","",B97*$B$8)</f>
        <v>16704.3001269421</v>
      </c>
      <c r="E97" s="23" t="n">
        <f aca="false">IF(A97="","",C97-D97)</f>
        <v>6598.97956889587</v>
      </c>
      <c r="F97" s="23" t="n">
        <f aca="false">IF(A97="","",B97-E97)</f>
        <v>2103417.87857116</v>
      </c>
    </row>
    <row r="98" customFormat="false" ht="15" hidden="false" customHeight="false" outlineLevel="0" collapsed="false">
      <c r="A98" s="22" t="n">
        <f aca="false">IF(A97="","",IF(A97+1&lt;=$B$9,A97+1,""))</f>
        <v>82</v>
      </c>
      <c r="B98" s="23" t="n">
        <f aca="false">IF(A98="","",F97)</f>
        <v>2103417.87857116</v>
      </c>
      <c r="C98" s="23" t="n">
        <f aca="false">IF(A98="","",$B$10)</f>
        <v>23303.279695838</v>
      </c>
      <c r="D98" s="23" t="n">
        <f aca="false">IF(A98="","",B98*$B$8)</f>
        <v>16652.058205355</v>
      </c>
      <c r="E98" s="23" t="n">
        <f aca="false">IF(A98="","",C98-D98)</f>
        <v>6651.22149048297</v>
      </c>
      <c r="F98" s="23" t="n">
        <f aca="false">IF(A98="","",B98-E98)</f>
        <v>2096766.65708067</v>
      </c>
    </row>
    <row r="99" customFormat="false" ht="15" hidden="false" customHeight="false" outlineLevel="0" collapsed="false">
      <c r="A99" s="22" t="n">
        <f aca="false">IF(A98="","",IF(A98+1&lt;=$B$9,A98+1,""))</f>
        <v>83</v>
      </c>
      <c r="B99" s="23" t="n">
        <f aca="false">IF(A99="","",F98)</f>
        <v>2096766.65708067</v>
      </c>
      <c r="C99" s="23" t="n">
        <f aca="false">IF(A99="","",$B$10)</f>
        <v>23303.279695838</v>
      </c>
      <c r="D99" s="23" t="n">
        <f aca="false">IF(A99="","",B99*$B$8)</f>
        <v>16599.4027018887</v>
      </c>
      <c r="E99" s="23" t="n">
        <f aca="false">IF(A99="","",C99-D99)</f>
        <v>6703.87699394929</v>
      </c>
      <c r="F99" s="23" t="n">
        <f aca="false">IF(A99="","",B99-E99)</f>
        <v>2090062.78008672</v>
      </c>
    </row>
    <row r="100" customFormat="false" ht="15" hidden="false" customHeight="false" outlineLevel="0" collapsed="false">
      <c r="A100" s="22" t="n">
        <f aca="false">IF(A99="","",IF(A99+1&lt;=$B$9,A99+1,""))</f>
        <v>84</v>
      </c>
      <c r="B100" s="23" t="n">
        <f aca="false">IF(A100="","",F99)</f>
        <v>2090062.78008672</v>
      </c>
      <c r="C100" s="23" t="n">
        <f aca="false">IF(A100="","",$B$10)</f>
        <v>23303.279695838</v>
      </c>
      <c r="D100" s="23" t="n">
        <f aca="false">IF(A100="","",B100*$B$8)</f>
        <v>16546.3303423532</v>
      </c>
      <c r="E100" s="23" t="n">
        <f aca="false">IF(A100="","",C100-D100)</f>
        <v>6756.94935348472</v>
      </c>
      <c r="F100" s="23" t="n">
        <f aca="false">IF(A100="","",B100-E100)</f>
        <v>2083305.83073324</v>
      </c>
    </row>
    <row r="101" customFormat="false" ht="15" hidden="false" customHeight="false" outlineLevel="0" collapsed="false">
      <c r="A101" s="22" t="n">
        <f aca="false">IF(A100="","",IF(A100+1&lt;=$B$9,A100+1,""))</f>
        <v>85</v>
      </c>
      <c r="B101" s="23" t="n">
        <f aca="false">IF(A101="","",F100)</f>
        <v>2083305.83073324</v>
      </c>
      <c r="C101" s="23" t="n">
        <f aca="false">IF(A101="","",$B$10)</f>
        <v>23303.279695838</v>
      </c>
      <c r="D101" s="23" t="n">
        <f aca="false">IF(A101="","",B101*$B$8)</f>
        <v>16492.8378266381</v>
      </c>
      <c r="E101" s="23" t="n">
        <f aca="false">IF(A101="","",C101-D101)</f>
        <v>6810.44186919981</v>
      </c>
      <c r="F101" s="23" t="n">
        <f aca="false">IF(A101="","",B101-E101)</f>
        <v>2076495.38886404</v>
      </c>
    </row>
    <row r="102" customFormat="false" ht="15" hidden="false" customHeight="false" outlineLevel="0" collapsed="false">
      <c r="A102" s="22" t="n">
        <f aca="false">IF(A101="","",IF(A101+1&lt;=$B$9,A101+1,""))</f>
        <v>86</v>
      </c>
      <c r="B102" s="23" t="n">
        <f aca="false">IF(A102="","",F101)</f>
        <v>2076495.38886404</v>
      </c>
      <c r="C102" s="23" t="n">
        <f aca="false">IF(A102="","",$B$10)</f>
        <v>23303.279695838</v>
      </c>
      <c r="D102" s="23" t="n">
        <f aca="false">IF(A102="","",B102*$B$8)</f>
        <v>16438.921828507</v>
      </c>
      <c r="E102" s="23" t="n">
        <f aca="false">IF(A102="","",C102-D102)</f>
        <v>6864.35786733097</v>
      </c>
      <c r="F102" s="23" t="n">
        <f aca="false">IF(A102="","",B102-E102)</f>
        <v>2069631.03099671</v>
      </c>
    </row>
    <row r="103" customFormat="false" ht="15" hidden="false" customHeight="false" outlineLevel="0" collapsed="false">
      <c r="A103" s="22" t="n">
        <f aca="false">IF(A102="","",IF(A102+1&lt;=$B$9,A102+1,""))</f>
        <v>87</v>
      </c>
      <c r="B103" s="23" t="n">
        <f aca="false">IF(A103="","",F102)</f>
        <v>2069631.03099671</v>
      </c>
      <c r="C103" s="23" t="n">
        <f aca="false">IF(A103="","",$B$10)</f>
        <v>23303.279695838</v>
      </c>
      <c r="D103" s="23" t="n">
        <f aca="false">IF(A103="","",B103*$B$8)</f>
        <v>16384.5789953906</v>
      </c>
      <c r="E103" s="23" t="n">
        <f aca="false">IF(A103="","",C103-D103)</f>
        <v>6918.70070044734</v>
      </c>
      <c r="F103" s="23" t="n">
        <f aca="false">IF(A103="","",B103-E103)</f>
        <v>2062712.33029626</v>
      </c>
    </row>
    <row r="104" customFormat="false" ht="15" hidden="false" customHeight="false" outlineLevel="0" collapsed="false">
      <c r="A104" s="22" t="n">
        <f aca="false">IF(A103="","",IF(A103+1&lt;=$B$9,A103+1,""))</f>
        <v>88</v>
      </c>
      <c r="B104" s="23" t="n">
        <f aca="false">IF(A104="","",F103)</f>
        <v>2062712.33029626</v>
      </c>
      <c r="C104" s="23" t="n">
        <f aca="false">IF(A104="","",$B$10)</f>
        <v>23303.279695838</v>
      </c>
      <c r="D104" s="23" t="n">
        <f aca="false">IF(A104="","",B104*$B$8)</f>
        <v>16329.8059481787</v>
      </c>
      <c r="E104" s="23" t="n">
        <f aca="false">IF(A104="","",C104-D104)</f>
        <v>6973.47374765922</v>
      </c>
      <c r="F104" s="23" t="n">
        <f aca="false">IF(A104="","",B104-E104)</f>
        <v>2055738.8565486</v>
      </c>
    </row>
    <row r="105" customFormat="false" ht="15" hidden="false" customHeight="false" outlineLevel="0" collapsed="false">
      <c r="A105" s="22" t="n">
        <f aca="false">IF(A104="","",IF(A104+1&lt;=$B$9,A104+1,""))</f>
        <v>89</v>
      </c>
      <c r="B105" s="23" t="n">
        <f aca="false">IF(A105="","",F104)</f>
        <v>2055738.8565486</v>
      </c>
      <c r="C105" s="23" t="n">
        <f aca="false">IF(A105="","",$B$10)</f>
        <v>23303.279695838</v>
      </c>
      <c r="D105" s="23" t="n">
        <f aca="false">IF(A105="","",B105*$B$8)</f>
        <v>16274.5992810098</v>
      </c>
      <c r="E105" s="23" t="n">
        <f aca="false">IF(A105="","",C105-D105)</f>
        <v>7028.68041482819</v>
      </c>
      <c r="F105" s="23" t="n">
        <f aca="false">IF(A105="","",B105-E105)</f>
        <v>2048710.17613377</v>
      </c>
    </row>
    <row r="106" customFormat="false" ht="15" hidden="false" customHeight="false" outlineLevel="0" collapsed="false">
      <c r="A106" s="22" t="n">
        <f aca="false">IF(A105="","",IF(A105+1&lt;=$B$9,A105+1,""))</f>
        <v>90</v>
      </c>
      <c r="B106" s="23" t="n">
        <f aca="false">IF(A106="","",F105)</f>
        <v>2048710.17613377</v>
      </c>
      <c r="C106" s="23" t="n">
        <f aca="false">IF(A106="","",$B$10)</f>
        <v>23303.279695838</v>
      </c>
      <c r="D106" s="23" t="n">
        <f aca="false">IF(A106="","",B106*$B$8)</f>
        <v>16218.955561059</v>
      </c>
      <c r="E106" s="23" t="n">
        <f aca="false">IF(A106="","",C106-D106)</f>
        <v>7084.32413477891</v>
      </c>
      <c r="F106" s="23" t="n">
        <f aca="false">IF(A106="","",B106-E106)</f>
        <v>2041625.85199899</v>
      </c>
    </row>
    <row r="107" customFormat="false" ht="15" hidden="false" customHeight="false" outlineLevel="0" collapsed="false">
      <c r="A107" s="22" t="n">
        <f aca="false">IF(A106="","",IF(A106+1&lt;=$B$9,A106+1,""))</f>
        <v>91</v>
      </c>
      <c r="B107" s="23" t="n">
        <f aca="false">IF(A107="","",F106)</f>
        <v>2041625.85199899</v>
      </c>
      <c r="C107" s="23" t="n">
        <f aca="false">IF(A107="","",$B$10)</f>
        <v>23303.279695838</v>
      </c>
      <c r="D107" s="23" t="n">
        <f aca="false">IF(A107="","",B107*$B$8)</f>
        <v>16162.8713283254</v>
      </c>
      <c r="E107" s="23" t="n">
        <f aca="false">IF(A107="","",C107-D107)</f>
        <v>7140.40836751258</v>
      </c>
      <c r="F107" s="23" t="n">
        <f aca="false">IF(A107="","",B107-E107)</f>
        <v>2034485.44363148</v>
      </c>
    </row>
    <row r="108" customFormat="false" ht="15" hidden="false" customHeight="false" outlineLevel="0" collapsed="false">
      <c r="A108" s="22" t="n">
        <f aca="false">IF(A107="","",IF(A107+1&lt;=$B$9,A107+1,""))</f>
        <v>92</v>
      </c>
      <c r="B108" s="23" t="n">
        <f aca="false">IF(A108="","",F107)</f>
        <v>2034485.44363148</v>
      </c>
      <c r="C108" s="23" t="n">
        <f aca="false">IF(A108="","",$B$10)</f>
        <v>23303.279695838</v>
      </c>
      <c r="D108" s="23" t="n">
        <f aca="false">IF(A108="","",B108*$B$8)</f>
        <v>16106.3430954159</v>
      </c>
      <c r="E108" s="23" t="n">
        <f aca="false">IF(A108="","",C108-D108)</f>
        <v>7196.93660042205</v>
      </c>
      <c r="F108" s="23" t="n">
        <f aca="false">IF(A108="","",B108-E108)</f>
        <v>2027288.50703106</v>
      </c>
    </row>
    <row r="109" customFormat="false" ht="15" hidden="false" customHeight="false" outlineLevel="0" collapsed="false">
      <c r="A109" s="22" t="n">
        <f aca="false">IF(A108="","",IF(A108+1&lt;=$B$9,A108+1,""))</f>
        <v>93</v>
      </c>
      <c r="B109" s="23" t="n">
        <f aca="false">IF(A109="","",F108)</f>
        <v>2027288.50703106</v>
      </c>
      <c r="C109" s="23" t="n">
        <f aca="false">IF(A109="","",$B$10)</f>
        <v>23303.279695838</v>
      </c>
      <c r="D109" s="23" t="n">
        <f aca="false">IF(A109="","",B109*$B$8)</f>
        <v>16049.3673473292</v>
      </c>
      <c r="E109" s="23" t="n">
        <f aca="false">IF(A109="","",C109-D109)</f>
        <v>7253.91234850873</v>
      </c>
      <c r="F109" s="23" t="n">
        <f aca="false">IF(A109="","",B109-E109)</f>
        <v>2020034.59468255</v>
      </c>
    </row>
    <row r="110" customFormat="false" ht="15" hidden="false" customHeight="false" outlineLevel="0" collapsed="false">
      <c r="A110" s="22" t="n">
        <f aca="false">IF(A109="","",IF(A109+1&lt;=$B$9,A109+1,""))</f>
        <v>94</v>
      </c>
      <c r="B110" s="23" t="n">
        <f aca="false">IF(A110="","",F109)</f>
        <v>2020034.59468255</v>
      </c>
      <c r="C110" s="23" t="n">
        <f aca="false">IF(A110="","",$B$10)</f>
        <v>23303.279695838</v>
      </c>
      <c r="D110" s="23" t="n">
        <f aca="false">IF(A110="","",B110*$B$8)</f>
        <v>15991.9405412369</v>
      </c>
      <c r="E110" s="23" t="n">
        <f aca="false">IF(A110="","",C110-D110)</f>
        <v>7311.33915460109</v>
      </c>
      <c r="F110" s="23" t="n">
        <f aca="false">IF(A110="","",B110-E110)</f>
        <v>2012723.25552795</v>
      </c>
    </row>
    <row r="111" customFormat="false" ht="15" hidden="false" customHeight="false" outlineLevel="0" collapsed="false">
      <c r="A111" s="22" t="n">
        <f aca="false">IF(A110="","",IF(A110+1&lt;=$B$9,A110+1,""))</f>
        <v>95</v>
      </c>
      <c r="B111" s="23" t="n">
        <f aca="false">IF(A111="","",F110)</f>
        <v>2012723.25552795</v>
      </c>
      <c r="C111" s="23" t="n">
        <f aca="false">IF(A111="","",$B$10)</f>
        <v>23303.279695838</v>
      </c>
      <c r="D111" s="23" t="n">
        <f aca="false">IF(A111="","",B111*$B$8)</f>
        <v>15934.0591062629</v>
      </c>
      <c r="E111" s="23" t="n">
        <f aca="false">IF(A111="","",C111-D111)</f>
        <v>7369.22058957501</v>
      </c>
      <c r="F111" s="23" t="n">
        <f aca="false">IF(A111="","",B111-E111)</f>
        <v>2005354.03493837</v>
      </c>
    </row>
    <row r="112" customFormat="false" ht="15" hidden="false" customHeight="false" outlineLevel="0" collapsed="false">
      <c r="A112" s="22" t="n">
        <f aca="false">IF(A111="","",IF(A111+1&lt;=$B$9,A111+1,""))</f>
        <v>96</v>
      </c>
      <c r="B112" s="23" t="n">
        <f aca="false">IF(A112="","",F111)</f>
        <v>2005354.03493837</v>
      </c>
      <c r="C112" s="23" t="n">
        <f aca="false">IF(A112="","",$B$10)</f>
        <v>23303.279695838</v>
      </c>
      <c r="D112" s="23" t="n">
        <f aca="false">IF(A112="","",B112*$B$8)</f>
        <v>15875.7194432621</v>
      </c>
      <c r="E112" s="23" t="n">
        <f aca="false">IF(A112="","",C112-D112)</f>
        <v>7427.56025257582</v>
      </c>
      <c r="F112" s="23" t="n">
        <f aca="false">IF(A112="","",B112-E112)</f>
        <v>1997926.4746858</v>
      </c>
    </row>
    <row r="113" customFormat="false" ht="15" hidden="false" customHeight="false" outlineLevel="0" collapsed="false">
      <c r="A113" s="22" t="n">
        <f aca="false">IF(A112="","",IF(A112+1&lt;=$B$9,A112+1,""))</f>
        <v>97</v>
      </c>
      <c r="B113" s="23" t="n">
        <f aca="false">IF(A113="","",F112)</f>
        <v>1997926.4746858</v>
      </c>
      <c r="C113" s="23" t="n">
        <f aca="false">IF(A113="","",$B$10)</f>
        <v>23303.279695838</v>
      </c>
      <c r="D113" s="23" t="n">
        <f aca="false">IF(A113="","",B113*$B$8)</f>
        <v>15816.9179245959</v>
      </c>
      <c r="E113" s="23" t="n">
        <f aca="false">IF(A113="","",C113-D113)</f>
        <v>7486.36177124204</v>
      </c>
      <c r="F113" s="23" t="n">
        <f aca="false">IF(A113="","",B113-E113)</f>
        <v>1990440.11291456</v>
      </c>
    </row>
    <row r="114" customFormat="false" ht="15" hidden="false" customHeight="false" outlineLevel="0" collapsed="false">
      <c r="A114" s="22" t="n">
        <f aca="false">IF(A113="","",IF(A113+1&lt;=$B$9,A113+1,""))</f>
        <v>98</v>
      </c>
      <c r="B114" s="23" t="n">
        <f aca="false">IF(A114="","",F113)</f>
        <v>1990440.11291456</v>
      </c>
      <c r="C114" s="23" t="n">
        <f aca="false">IF(A114="","",$B$10)</f>
        <v>23303.279695838</v>
      </c>
      <c r="D114" s="23" t="n">
        <f aca="false">IF(A114="","",B114*$B$8)</f>
        <v>15757.6508939069</v>
      </c>
      <c r="E114" s="23" t="n">
        <f aca="false">IF(A114="","",C114-D114)</f>
        <v>7545.62880193104</v>
      </c>
      <c r="F114" s="23" t="n">
        <f aca="false">IF(A114="","",B114-E114)</f>
        <v>1982894.48411263</v>
      </c>
    </row>
    <row r="115" customFormat="false" ht="15" hidden="false" customHeight="false" outlineLevel="0" collapsed="false">
      <c r="A115" s="22" t="n">
        <f aca="false">IF(A114="","",IF(A114+1&lt;=$B$9,A114+1,""))</f>
        <v>99</v>
      </c>
      <c r="B115" s="23" t="n">
        <f aca="false">IF(A115="","",F114)</f>
        <v>1982894.48411263</v>
      </c>
      <c r="C115" s="23" t="n">
        <f aca="false">IF(A115="","",$B$10)</f>
        <v>23303.279695838</v>
      </c>
      <c r="D115" s="23" t="n">
        <f aca="false">IF(A115="","",B115*$B$8)</f>
        <v>15697.9146658916</v>
      </c>
      <c r="E115" s="23" t="n">
        <f aca="false">IF(A115="","",C115-D115)</f>
        <v>7605.36502994633</v>
      </c>
      <c r="F115" s="23" t="n">
        <f aca="false">IF(A115="","",B115-E115)</f>
        <v>1975289.11908268</v>
      </c>
    </row>
    <row r="116" customFormat="false" ht="15" hidden="false" customHeight="false" outlineLevel="0" collapsed="false">
      <c r="A116" s="22" t="n">
        <f aca="false">IF(A115="","",IF(A115+1&lt;=$B$9,A115+1,""))</f>
        <v>100</v>
      </c>
      <c r="B116" s="23" t="n">
        <f aca="false">IF(A116="","",F115)</f>
        <v>1975289.11908268</v>
      </c>
      <c r="C116" s="23" t="n">
        <f aca="false">IF(A116="","",$B$10)</f>
        <v>23303.279695838</v>
      </c>
      <c r="D116" s="23" t="n">
        <f aca="false">IF(A116="","",B116*$B$8)</f>
        <v>15637.7055260712</v>
      </c>
      <c r="E116" s="23" t="n">
        <f aca="false">IF(A116="","",C116-D116)</f>
        <v>7665.57416976674</v>
      </c>
      <c r="F116" s="23" t="n">
        <f aca="false">IF(A116="","",B116-E116)</f>
        <v>1967623.54491291</v>
      </c>
    </row>
    <row r="117" customFormat="false" ht="15" hidden="false" customHeight="false" outlineLevel="0" collapsed="false">
      <c r="A117" s="22" t="n">
        <f aca="false">IF(A116="","",IF(A116+1&lt;=$B$9,A116+1,""))</f>
        <v>101</v>
      </c>
      <c r="B117" s="23" t="n">
        <f aca="false">IF(A117="","",F116)</f>
        <v>1967623.54491291</v>
      </c>
      <c r="C117" s="23" t="n">
        <f aca="false">IF(A117="","",$B$10)</f>
        <v>23303.279695838</v>
      </c>
      <c r="D117" s="23" t="n">
        <f aca="false">IF(A117="","",B117*$B$8)</f>
        <v>15577.0197305606</v>
      </c>
      <c r="E117" s="23" t="n">
        <f aca="false">IF(A117="","",C117-D117)</f>
        <v>7726.25996527739</v>
      </c>
      <c r="F117" s="23" t="n">
        <f aca="false">IF(A117="","",B117-E117)</f>
        <v>1959897.28494764</v>
      </c>
    </row>
    <row r="118" customFormat="false" ht="15" hidden="false" customHeight="false" outlineLevel="0" collapsed="false">
      <c r="A118" s="22" t="n">
        <f aca="false">IF(A117="","",IF(A117+1&lt;=$B$9,A117+1,""))</f>
        <v>102</v>
      </c>
      <c r="B118" s="23" t="n">
        <f aca="false">IF(A118="","",F117)</f>
        <v>1959897.28494764</v>
      </c>
      <c r="C118" s="23" t="n">
        <f aca="false">IF(A118="","",$B$10)</f>
        <v>23303.279695838</v>
      </c>
      <c r="D118" s="23" t="n">
        <f aca="false">IF(A118="","",B118*$B$8)</f>
        <v>15515.8535058355</v>
      </c>
      <c r="E118" s="23" t="n">
        <f aca="false">IF(A118="","",C118-D118)</f>
        <v>7787.4261900025</v>
      </c>
      <c r="F118" s="23" t="n">
        <f aca="false">IF(A118="","",B118-E118)</f>
        <v>1952109.85875763</v>
      </c>
    </row>
    <row r="119" customFormat="false" ht="15" hidden="false" customHeight="false" outlineLevel="0" collapsed="false">
      <c r="A119" s="22" t="n">
        <f aca="false">IF(A118="","",IF(A118+1&lt;=$B$9,A118+1,""))</f>
        <v>103</v>
      </c>
      <c r="B119" s="23" t="n">
        <f aca="false">IF(A119="","",F118)</f>
        <v>1952109.85875763</v>
      </c>
      <c r="C119" s="23" t="n">
        <f aca="false">IF(A119="","",$B$10)</f>
        <v>23303.279695838</v>
      </c>
      <c r="D119" s="23" t="n">
        <f aca="false">IF(A119="","",B119*$B$8)</f>
        <v>15454.2030484979</v>
      </c>
      <c r="E119" s="23" t="n">
        <f aca="false">IF(A119="","",C119-D119)</f>
        <v>7849.07664734002</v>
      </c>
      <c r="F119" s="23" t="n">
        <f aca="false">IF(A119="","",B119-E119)</f>
        <v>1944260.78211029</v>
      </c>
    </row>
    <row r="120" customFormat="false" ht="15" hidden="false" customHeight="false" outlineLevel="0" collapsed="false">
      <c r="A120" s="22" t="n">
        <f aca="false">IF(A119="","",IF(A119+1&lt;=$B$9,A119+1,""))</f>
        <v>104</v>
      </c>
      <c r="B120" s="23" t="n">
        <f aca="false">IF(A120="","",F119)</f>
        <v>1944260.78211029</v>
      </c>
      <c r="C120" s="23" t="n">
        <f aca="false">IF(A120="","",$B$10)</f>
        <v>23303.279695838</v>
      </c>
      <c r="D120" s="23" t="n">
        <f aca="false">IF(A120="","",B120*$B$8)</f>
        <v>15392.0645250398</v>
      </c>
      <c r="E120" s="23" t="n">
        <f aca="false">IF(A120="","",C120-D120)</f>
        <v>7911.21517079813</v>
      </c>
      <c r="F120" s="23" t="n">
        <f aca="false">IF(A120="","",B120-E120)</f>
        <v>1936349.56693949</v>
      </c>
    </row>
    <row r="121" customFormat="false" ht="15" hidden="false" customHeight="false" outlineLevel="0" collapsed="false">
      <c r="A121" s="22" t="n">
        <f aca="false">IF(A120="","",IF(A120+1&lt;=$B$9,A120+1,""))</f>
        <v>105</v>
      </c>
      <c r="B121" s="23" t="n">
        <f aca="false">IF(A121="","",F120)</f>
        <v>1936349.56693949</v>
      </c>
      <c r="C121" s="23" t="n">
        <f aca="false">IF(A121="","",$B$10)</f>
        <v>23303.279695838</v>
      </c>
      <c r="D121" s="23" t="n">
        <f aca="false">IF(A121="","",B121*$B$8)</f>
        <v>15329.4340716043</v>
      </c>
      <c r="E121" s="23" t="n">
        <f aca="false">IF(A121="","",C121-D121)</f>
        <v>7973.84562423362</v>
      </c>
      <c r="F121" s="23" t="n">
        <f aca="false">IF(A121="","",B121-E121)</f>
        <v>1928375.72131526</v>
      </c>
    </row>
    <row r="122" customFormat="false" ht="15" hidden="false" customHeight="false" outlineLevel="0" collapsed="false">
      <c r="A122" s="22" t="n">
        <f aca="false">IF(A121="","",IF(A121+1&lt;=$B$9,A121+1,""))</f>
        <v>106</v>
      </c>
      <c r="B122" s="23" t="n">
        <f aca="false">IF(A122="","",F121)</f>
        <v>1928375.72131526</v>
      </c>
      <c r="C122" s="23" t="n">
        <f aca="false">IF(A122="","",$B$10)</f>
        <v>23303.279695838</v>
      </c>
      <c r="D122" s="23" t="n">
        <f aca="false">IF(A122="","",B122*$B$8)</f>
        <v>15266.3077937458</v>
      </c>
      <c r="E122" s="23" t="n">
        <f aca="false">IF(A122="","",C122-D122)</f>
        <v>8036.97190209213</v>
      </c>
      <c r="F122" s="23" t="n">
        <f aca="false">IF(A122="","",B122-E122)</f>
        <v>1920338.74941317</v>
      </c>
    </row>
    <row r="123" customFormat="false" ht="15" hidden="false" customHeight="false" outlineLevel="0" collapsed="false">
      <c r="A123" s="22" t="n">
        <f aca="false">IF(A122="","",IF(A122+1&lt;=$B$9,A122+1,""))</f>
        <v>107</v>
      </c>
      <c r="B123" s="23" t="n">
        <f aca="false">IF(A123="","",F122)</f>
        <v>1920338.74941317</v>
      </c>
      <c r="C123" s="23" t="n">
        <f aca="false">IF(A123="","",$B$10)</f>
        <v>23303.279695838</v>
      </c>
      <c r="D123" s="23" t="n">
        <f aca="false">IF(A123="","",B123*$B$8)</f>
        <v>15202.6817661876</v>
      </c>
      <c r="E123" s="23" t="n">
        <f aca="false">IF(A123="","",C123-D123)</f>
        <v>8100.59792965036</v>
      </c>
      <c r="F123" s="23" t="n">
        <f aca="false">IF(A123="","",B123-E123)</f>
        <v>1912238.15148352</v>
      </c>
    </row>
    <row r="124" customFormat="false" ht="15" hidden="false" customHeight="false" outlineLevel="0" collapsed="false">
      <c r="A124" s="22" t="n">
        <f aca="false">IF(A123="","",IF(A123+1&lt;=$B$9,A123+1,""))</f>
        <v>108</v>
      </c>
      <c r="B124" s="23" t="n">
        <f aca="false">IF(A124="","",F123)</f>
        <v>1912238.15148352</v>
      </c>
      <c r="C124" s="23" t="n">
        <f aca="false">IF(A124="","",$B$10)</f>
        <v>23303.279695838</v>
      </c>
      <c r="D124" s="23" t="n">
        <f aca="false">IF(A124="","",B124*$B$8)</f>
        <v>15138.5520325779</v>
      </c>
      <c r="E124" s="23" t="n">
        <f aca="false">IF(A124="","",C124-D124)</f>
        <v>8164.7276632601</v>
      </c>
      <c r="F124" s="23" t="n">
        <f aca="false">IF(A124="","",B124-E124)</f>
        <v>1904073.42382026</v>
      </c>
    </row>
    <row r="125" customFormat="false" ht="15" hidden="false" customHeight="false" outlineLevel="0" collapsed="false">
      <c r="A125" s="22" t="n">
        <f aca="false">IF(A124="","",IF(A124+1&lt;=$B$9,A124+1,""))</f>
        <v>109</v>
      </c>
      <c r="B125" s="23" t="n">
        <f aca="false">IF(A125="","",F124)</f>
        <v>1904073.42382026</v>
      </c>
      <c r="C125" s="23" t="n">
        <f aca="false">IF(A125="","",$B$10)</f>
        <v>23303.279695838</v>
      </c>
      <c r="D125" s="23" t="n">
        <f aca="false">IF(A125="","",B125*$B$8)</f>
        <v>15073.9146052437</v>
      </c>
      <c r="E125" s="23" t="n">
        <f aca="false">IF(A125="","",C125-D125)</f>
        <v>8229.36509059424</v>
      </c>
      <c r="F125" s="23" t="n">
        <f aca="false">IF(A125="","",B125-E125)</f>
        <v>1895844.05872966</v>
      </c>
    </row>
    <row r="126" customFormat="false" ht="15" hidden="false" customHeight="false" outlineLevel="0" collapsed="false">
      <c r="A126" s="22" t="n">
        <f aca="false">IF(A125="","",IF(A125+1&lt;=$B$9,A125+1,""))</f>
        <v>110</v>
      </c>
      <c r="B126" s="23" t="n">
        <f aca="false">IF(A126="","",F125)</f>
        <v>1895844.05872966</v>
      </c>
      <c r="C126" s="23" t="n">
        <f aca="false">IF(A126="","",$B$10)</f>
        <v>23303.279695838</v>
      </c>
      <c r="D126" s="23" t="n">
        <f aca="false">IF(A126="","",B126*$B$8)</f>
        <v>15008.7654649432</v>
      </c>
      <c r="E126" s="23" t="n">
        <f aca="false">IF(A126="","",C126-D126)</f>
        <v>8294.51423089477</v>
      </c>
      <c r="F126" s="23" t="n">
        <f aca="false">IF(A126="","",B126-E126)</f>
        <v>1887549.54449877</v>
      </c>
    </row>
    <row r="127" customFormat="false" ht="15" hidden="false" customHeight="false" outlineLevel="0" collapsed="false">
      <c r="A127" s="22" t="n">
        <f aca="false">IF(A126="","",IF(A126+1&lt;=$B$9,A126+1,""))</f>
        <v>111</v>
      </c>
      <c r="B127" s="23" t="n">
        <f aca="false">IF(A127="","",F126)</f>
        <v>1887549.54449877</v>
      </c>
      <c r="C127" s="23" t="n">
        <f aca="false">IF(A127="","",$B$10)</f>
        <v>23303.279695838</v>
      </c>
      <c r="D127" s="23" t="n">
        <f aca="false">IF(A127="","",B127*$B$8)</f>
        <v>14943.1005606153</v>
      </c>
      <c r="E127" s="23" t="n">
        <f aca="false">IF(A127="","",C127-D127)</f>
        <v>8360.17913522269</v>
      </c>
      <c r="F127" s="23" t="n">
        <f aca="false">IF(A127="","",B127-E127)</f>
        <v>1879189.36536355</v>
      </c>
    </row>
    <row r="128" customFormat="false" ht="15" hidden="false" customHeight="false" outlineLevel="0" collapsed="false">
      <c r="A128" s="22" t="n">
        <f aca="false">IF(A127="","",IF(A127+1&lt;=$B$9,A127+1,""))</f>
        <v>112</v>
      </c>
      <c r="B128" s="23" t="n">
        <f aca="false">IF(A128="","",F127)</f>
        <v>1879189.36536355</v>
      </c>
      <c r="C128" s="23" t="n">
        <f aca="false">IF(A128="","",$B$10)</f>
        <v>23303.279695838</v>
      </c>
      <c r="D128" s="23" t="n">
        <f aca="false">IF(A128="","",B128*$B$8)</f>
        <v>14876.9158091281</v>
      </c>
      <c r="E128" s="23" t="n">
        <f aca="false">IF(A128="","",C128-D128)</f>
        <v>8426.36388670987</v>
      </c>
      <c r="F128" s="23" t="n">
        <f aca="false">IF(A128="","",B128-E128)</f>
        <v>1870763.00147684</v>
      </c>
    </row>
    <row r="129" customFormat="false" ht="15" hidden="false" customHeight="false" outlineLevel="0" collapsed="false">
      <c r="A129" s="22" t="n">
        <f aca="false">IF(A128="","",IF(A128+1&lt;=$B$9,A128+1,""))</f>
        <v>113</v>
      </c>
      <c r="B129" s="23" t="n">
        <f aca="false">IF(A129="","",F128)</f>
        <v>1870763.00147684</v>
      </c>
      <c r="C129" s="23" t="n">
        <f aca="false">IF(A129="","",$B$10)</f>
        <v>23303.279695838</v>
      </c>
      <c r="D129" s="23" t="n">
        <f aca="false">IF(A129="","",B129*$B$8)</f>
        <v>14810.207095025</v>
      </c>
      <c r="E129" s="23" t="n">
        <f aca="false">IF(A129="","",C129-D129)</f>
        <v>8493.07260081299</v>
      </c>
      <c r="F129" s="23" t="n">
        <f aca="false">IF(A129="","",B129-E129)</f>
        <v>1862269.92887602</v>
      </c>
    </row>
    <row r="130" customFormat="false" ht="15" hidden="false" customHeight="false" outlineLevel="0" collapsed="false">
      <c r="A130" s="22" t="n">
        <f aca="false">IF(A129="","",IF(A129+1&lt;=$B$9,A129+1,""))</f>
        <v>114</v>
      </c>
      <c r="B130" s="23" t="n">
        <f aca="false">IF(A130="","",F129)</f>
        <v>1862269.92887602</v>
      </c>
      <c r="C130" s="23" t="n">
        <f aca="false">IF(A130="","",$B$10)</f>
        <v>23303.279695838</v>
      </c>
      <c r="D130" s="23" t="n">
        <f aca="false">IF(A130="","",B130*$B$8)</f>
        <v>14742.9702702685</v>
      </c>
      <c r="E130" s="23" t="n">
        <f aca="false">IF(A130="","",C130-D130)</f>
        <v>8560.30942556943</v>
      </c>
      <c r="F130" s="23" t="n">
        <f aca="false">IF(A130="","",B130-E130)</f>
        <v>1853709.61945045</v>
      </c>
    </row>
    <row r="131" customFormat="false" ht="15" hidden="false" customHeight="false" outlineLevel="0" collapsed="false">
      <c r="A131" s="22" t="n">
        <f aca="false">IF(A130="","",IF(A130+1&lt;=$B$9,A130+1,""))</f>
        <v>115</v>
      </c>
      <c r="B131" s="23" t="n">
        <f aca="false">IF(A131="","",F130)</f>
        <v>1853709.61945045</v>
      </c>
      <c r="C131" s="23" t="n">
        <f aca="false">IF(A131="","",$B$10)</f>
        <v>23303.279695838</v>
      </c>
      <c r="D131" s="23" t="n">
        <f aca="false">IF(A131="","",B131*$B$8)</f>
        <v>14675.2011539828</v>
      </c>
      <c r="E131" s="23" t="n">
        <f aca="false">IF(A131="","",C131-D131)</f>
        <v>8628.07854185518</v>
      </c>
      <c r="F131" s="23" t="n">
        <f aca="false">IF(A131="","",B131-E131)</f>
        <v>1845081.5409086</v>
      </c>
    </row>
    <row r="132" customFormat="false" ht="15" hidden="false" customHeight="false" outlineLevel="0" collapsed="false">
      <c r="A132" s="22" t="n">
        <f aca="false">IF(A131="","",IF(A131+1&lt;=$B$9,A131+1,""))</f>
        <v>116</v>
      </c>
      <c r="B132" s="23" t="n">
        <f aca="false">IF(A132="","",F131)</f>
        <v>1845081.5409086</v>
      </c>
      <c r="C132" s="23" t="n">
        <f aca="false">IF(A132="","",$B$10)</f>
        <v>23303.279695838</v>
      </c>
      <c r="D132" s="23" t="n">
        <f aca="false">IF(A132="","",B132*$B$8)</f>
        <v>14606.8955321931</v>
      </c>
      <c r="E132" s="23" t="n">
        <f aca="false">IF(A132="","",C132-D132)</f>
        <v>8696.38416364487</v>
      </c>
      <c r="F132" s="23" t="n">
        <f aca="false">IF(A132="","",B132-E132)</f>
        <v>1836385.15674495</v>
      </c>
    </row>
    <row r="133" customFormat="false" ht="15" hidden="false" customHeight="false" outlineLevel="0" collapsed="false">
      <c r="A133" s="22" t="n">
        <f aca="false">IF(A132="","",IF(A132+1&lt;=$B$9,A132+1,""))</f>
        <v>117</v>
      </c>
      <c r="B133" s="23" t="n">
        <f aca="false">IF(A133="","",F132)</f>
        <v>1836385.15674495</v>
      </c>
      <c r="C133" s="23" t="n">
        <f aca="false">IF(A133="","",$B$10)</f>
        <v>23303.279695838</v>
      </c>
      <c r="D133" s="23" t="n">
        <f aca="false">IF(A133="","",B133*$B$8)</f>
        <v>14538.0491575642</v>
      </c>
      <c r="E133" s="23" t="n">
        <f aca="false">IF(A133="","",C133-D133)</f>
        <v>8765.23053827373</v>
      </c>
      <c r="F133" s="23" t="n">
        <f aca="false">IF(A133="","",B133-E133)</f>
        <v>1827619.92620668</v>
      </c>
    </row>
    <row r="134" customFormat="false" ht="15" hidden="false" customHeight="false" outlineLevel="0" collapsed="false">
      <c r="A134" s="22" t="n">
        <f aca="false">IF(A133="","",IF(A133+1&lt;=$B$9,A133+1,""))</f>
        <v>118</v>
      </c>
      <c r="B134" s="23" t="n">
        <f aca="false">IF(A134="","",F133)</f>
        <v>1827619.92620668</v>
      </c>
      <c r="C134" s="23" t="n">
        <f aca="false">IF(A134="","",$B$10)</f>
        <v>23303.279695838</v>
      </c>
      <c r="D134" s="23" t="n">
        <f aca="false">IF(A134="","",B134*$B$8)</f>
        <v>14468.6577491362</v>
      </c>
      <c r="E134" s="23" t="n">
        <f aca="false">IF(A134="","",C134-D134)</f>
        <v>8834.62194670173</v>
      </c>
      <c r="F134" s="23" t="n">
        <f aca="false">IF(A134="","",B134-E134)</f>
        <v>1818785.30425998</v>
      </c>
    </row>
    <row r="135" customFormat="false" ht="15" hidden="false" customHeight="false" outlineLevel="0" collapsed="false">
      <c r="A135" s="22" t="n">
        <f aca="false">IF(A134="","",IF(A134+1&lt;=$B$9,A134+1,""))</f>
        <v>119</v>
      </c>
      <c r="B135" s="23" t="n">
        <f aca="false">IF(A135="","",F134)</f>
        <v>1818785.30425998</v>
      </c>
      <c r="C135" s="23" t="n">
        <f aca="false">IF(A135="","",$B$10)</f>
        <v>23303.279695838</v>
      </c>
      <c r="D135" s="23" t="n">
        <f aca="false">IF(A135="","",B135*$B$8)</f>
        <v>14398.7169920582</v>
      </c>
      <c r="E135" s="23" t="n">
        <f aca="false">IF(A135="","",C135-D135)</f>
        <v>8904.56270377978</v>
      </c>
      <c r="F135" s="23" t="n">
        <f aca="false">IF(A135="","",B135-E135)</f>
        <v>1809880.7415562</v>
      </c>
    </row>
    <row r="136" customFormat="false" ht="15" hidden="false" customHeight="false" outlineLevel="0" collapsed="false">
      <c r="A136" s="22" t="n">
        <f aca="false">IF(A135="","",IF(A135+1&lt;=$B$9,A135+1,""))</f>
        <v>120</v>
      </c>
      <c r="B136" s="23" t="n">
        <f aca="false">IF(A136="","",F135)</f>
        <v>1809880.7415562</v>
      </c>
      <c r="C136" s="23" t="n">
        <f aca="false">IF(A136="","",$B$10)</f>
        <v>23303.279695838</v>
      </c>
      <c r="D136" s="23" t="n">
        <f aca="false">IF(A136="","",B136*$B$8)</f>
        <v>14328.2225373199</v>
      </c>
      <c r="E136" s="23" t="n">
        <f aca="false">IF(A136="","",C136-D136)</f>
        <v>8975.05715851804</v>
      </c>
      <c r="F136" s="23" t="n">
        <f aca="false">IF(A136="","",B136-E136)</f>
        <v>1800905.68439768</v>
      </c>
    </row>
    <row r="137" customFormat="false" ht="15" hidden="false" customHeight="false" outlineLevel="0" collapsed="false">
      <c r="A137" s="22" t="n">
        <f aca="false">IF(A136="","",IF(A136+1&lt;=$B$9,A136+1,""))</f>
        <v>121</v>
      </c>
      <c r="B137" s="23" t="n">
        <f aca="false">IF(A137="","",F136)</f>
        <v>1800905.68439768</v>
      </c>
      <c r="C137" s="23" t="n">
        <f aca="false">IF(A137="","",$B$10)</f>
        <v>23303.279695838</v>
      </c>
      <c r="D137" s="23" t="n">
        <f aca="false">IF(A137="","",B137*$B$8)</f>
        <v>14257.1700014816</v>
      </c>
      <c r="E137" s="23" t="n">
        <f aca="false">IF(A137="","",C137-D137)</f>
        <v>9046.10969435631</v>
      </c>
      <c r="F137" s="23" t="n">
        <f aca="false">IF(A137="","",B137-E137)</f>
        <v>1791859.57470332</v>
      </c>
    </row>
    <row r="138" customFormat="false" ht="15" hidden="false" customHeight="false" outlineLevel="0" collapsed="false">
      <c r="A138" s="22" t="n">
        <f aca="false">IF(A137="","",IF(A137+1&lt;=$B$9,A137+1,""))</f>
        <v>122</v>
      </c>
      <c r="B138" s="23" t="n">
        <f aca="false">IF(A138="","",F137)</f>
        <v>1791859.57470332</v>
      </c>
      <c r="C138" s="23" t="n">
        <f aca="false">IF(A138="","",$B$10)</f>
        <v>23303.279695838</v>
      </c>
      <c r="D138" s="23" t="n">
        <f aca="false">IF(A138="","",B138*$B$8)</f>
        <v>14185.5549664013</v>
      </c>
      <c r="E138" s="23" t="n">
        <f aca="false">IF(A138="","",C138-D138)</f>
        <v>9117.72472943663</v>
      </c>
      <c r="F138" s="23" t="n">
        <f aca="false">IF(A138="","",B138-E138)</f>
        <v>1782741.84997389</v>
      </c>
    </row>
    <row r="139" customFormat="false" ht="15" hidden="false" customHeight="false" outlineLevel="0" collapsed="false">
      <c r="A139" s="22" t="n">
        <f aca="false">IF(A138="","",IF(A138+1&lt;=$B$9,A138+1,""))</f>
        <v>123</v>
      </c>
      <c r="B139" s="23" t="n">
        <f aca="false">IF(A139="","",F138)</f>
        <v>1782741.84997389</v>
      </c>
      <c r="C139" s="23" t="n">
        <f aca="false">IF(A139="","",$B$10)</f>
        <v>23303.279695838</v>
      </c>
      <c r="D139" s="23" t="n">
        <f aca="false">IF(A139="","",B139*$B$8)</f>
        <v>14113.37297896</v>
      </c>
      <c r="E139" s="23" t="n">
        <f aca="false">IF(A139="","",C139-D139)</f>
        <v>9189.906716878</v>
      </c>
      <c r="F139" s="23" t="n">
        <f aca="false">IF(A139="","",B139-E139)</f>
        <v>1773551.94325701</v>
      </c>
    </row>
    <row r="140" customFormat="false" ht="15" hidden="false" customHeight="false" outlineLevel="0" collapsed="false">
      <c r="A140" s="22" t="n">
        <f aca="false">IF(A139="","",IF(A139+1&lt;=$B$9,A139+1,""))</f>
        <v>124</v>
      </c>
      <c r="B140" s="23" t="n">
        <f aca="false">IF(A140="","",F139)</f>
        <v>1773551.94325701</v>
      </c>
      <c r="C140" s="23" t="n">
        <f aca="false">IF(A140="","",$B$10)</f>
        <v>23303.279695838</v>
      </c>
      <c r="D140" s="23" t="n">
        <f aca="false">IF(A140="","",B140*$B$8)</f>
        <v>14040.6195507847</v>
      </c>
      <c r="E140" s="23" t="n">
        <f aca="false">IF(A140="","",C140-D140)</f>
        <v>9262.66014505329</v>
      </c>
      <c r="F140" s="23" t="n">
        <f aca="false">IF(A140="","",B140-E140)</f>
        <v>1764289.28311196</v>
      </c>
    </row>
    <row r="141" customFormat="false" ht="15" hidden="false" customHeight="false" outlineLevel="0" collapsed="false">
      <c r="A141" s="22" t="n">
        <f aca="false">IF(A140="","",IF(A140+1&lt;=$B$9,A140+1,""))</f>
        <v>125</v>
      </c>
      <c r="B141" s="23" t="n">
        <f aca="false">IF(A141="","",F140)</f>
        <v>1764289.28311196</v>
      </c>
      <c r="C141" s="23" t="n">
        <f aca="false">IF(A141="","",$B$10)</f>
        <v>23303.279695838</v>
      </c>
      <c r="D141" s="23" t="n">
        <f aca="false">IF(A141="","",B141*$B$8)</f>
        <v>13967.2901579697</v>
      </c>
      <c r="E141" s="23" t="n">
        <f aca="false">IF(A141="","",C141-D141)</f>
        <v>9335.98953786829</v>
      </c>
      <c r="F141" s="23" t="n">
        <f aca="false">IF(A141="","",B141-E141)</f>
        <v>1754953.29357409</v>
      </c>
    </row>
    <row r="142" customFormat="false" ht="15" hidden="false" customHeight="false" outlineLevel="0" collapsed="false">
      <c r="A142" s="22" t="n">
        <f aca="false">IF(A141="","",IF(A141+1&lt;=$B$9,A141+1,""))</f>
        <v>126</v>
      </c>
      <c r="B142" s="23" t="n">
        <f aca="false">IF(A142="","",F141)</f>
        <v>1754953.29357409</v>
      </c>
      <c r="C142" s="23" t="n">
        <f aca="false">IF(A142="","",$B$10)</f>
        <v>23303.279695838</v>
      </c>
      <c r="D142" s="23" t="n">
        <f aca="false">IF(A142="","",B142*$B$8)</f>
        <v>13893.3802407949</v>
      </c>
      <c r="E142" s="23" t="n">
        <f aca="false">IF(A142="","",C142-D142)</f>
        <v>9409.89945504308</v>
      </c>
      <c r="F142" s="23" t="n">
        <f aca="false">IF(A142="","",B142-E142)</f>
        <v>1745543.39411905</v>
      </c>
    </row>
    <row r="143" customFormat="false" ht="15" hidden="false" customHeight="false" outlineLevel="0" collapsed="false">
      <c r="A143" s="22" t="n">
        <f aca="false">IF(A142="","",IF(A142+1&lt;=$B$9,A142+1,""))</f>
        <v>127</v>
      </c>
      <c r="B143" s="23" t="n">
        <f aca="false">IF(A143="","",F142)</f>
        <v>1745543.39411905</v>
      </c>
      <c r="C143" s="23" t="n">
        <f aca="false">IF(A143="","",$B$10)</f>
        <v>23303.279695838</v>
      </c>
      <c r="D143" s="23" t="n">
        <f aca="false">IF(A143="","",B143*$B$8)</f>
        <v>13818.8852034424</v>
      </c>
      <c r="E143" s="23" t="n">
        <f aca="false">IF(A143="","",C143-D143)</f>
        <v>9484.3944923955</v>
      </c>
      <c r="F143" s="23" t="n">
        <f aca="false">IF(A143="","",B143-E143)</f>
        <v>1736058.99962665</v>
      </c>
    </row>
    <row r="144" customFormat="false" ht="15" hidden="false" customHeight="false" outlineLevel="0" collapsed="false">
      <c r="A144" s="22" t="n">
        <f aca="false">IF(A143="","",IF(A143+1&lt;=$B$9,A143+1,""))</f>
        <v>128</v>
      </c>
      <c r="B144" s="23" t="n">
        <f aca="false">IF(A144="","",F143)</f>
        <v>1736058.99962665</v>
      </c>
      <c r="C144" s="23" t="n">
        <f aca="false">IF(A144="","",$B$10)</f>
        <v>23303.279695838</v>
      </c>
      <c r="D144" s="23" t="n">
        <f aca="false">IF(A144="","",B144*$B$8)</f>
        <v>13743.800413711</v>
      </c>
      <c r="E144" s="23" t="n">
        <f aca="false">IF(A144="","",C144-D144)</f>
        <v>9559.47928212697</v>
      </c>
      <c r="F144" s="23" t="n">
        <f aca="false">IF(A144="","",B144-E144)</f>
        <v>1726499.52034452</v>
      </c>
    </row>
    <row r="145" customFormat="false" ht="15" hidden="false" customHeight="false" outlineLevel="0" collapsed="false">
      <c r="A145" s="22" t="n">
        <f aca="false">IF(A144="","",IF(A144+1&lt;=$B$9,A144+1,""))</f>
        <v>129</v>
      </c>
      <c r="B145" s="23" t="n">
        <f aca="false">IF(A145="","",F144)</f>
        <v>1726499.52034452</v>
      </c>
      <c r="C145" s="23" t="n">
        <f aca="false">IF(A145="","",$B$10)</f>
        <v>23303.279695838</v>
      </c>
      <c r="D145" s="23" t="n">
        <f aca="false">IF(A145="","",B145*$B$8)</f>
        <v>13668.1212027275</v>
      </c>
      <c r="E145" s="23" t="n">
        <f aca="false">IF(A145="","",C145-D145)</f>
        <v>9635.15849311048</v>
      </c>
      <c r="F145" s="23" t="n">
        <f aca="false">IF(A145="","",B145-E145)</f>
        <v>1716864.36185141</v>
      </c>
    </row>
    <row r="146" customFormat="false" ht="15" hidden="false" customHeight="false" outlineLevel="0" collapsed="false">
      <c r="A146" s="22" t="n">
        <f aca="false">IF(A145="","",IF(A145+1&lt;=$B$9,A145+1,""))</f>
        <v>130</v>
      </c>
      <c r="B146" s="23" t="n">
        <f aca="false">IF(A146="","",F145)</f>
        <v>1716864.36185141</v>
      </c>
      <c r="C146" s="23" t="n">
        <f aca="false">IF(A146="","",$B$10)</f>
        <v>23303.279695838</v>
      </c>
      <c r="D146" s="23" t="n">
        <f aca="false">IF(A146="","",B146*$B$8)</f>
        <v>13591.842864657</v>
      </c>
      <c r="E146" s="23" t="n">
        <f aca="false">IF(A146="","",C146-D146)</f>
        <v>9711.43683118093</v>
      </c>
      <c r="F146" s="23" t="n">
        <f aca="false">IF(A146="","",B146-E146)</f>
        <v>1707152.92502023</v>
      </c>
    </row>
    <row r="147" customFormat="false" ht="15" hidden="false" customHeight="false" outlineLevel="0" collapsed="false">
      <c r="A147" s="22" t="n">
        <f aca="false">IF(A146="","",IF(A146+1&lt;=$B$9,A146+1,""))</f>
        <v>131</v>
      </c>
      <c r="B147" s="23" t="n">
        <f aca="false">IF(A147="","",F146)</f>
        <v>1707152.92502023</v>
      </c>
      <c r="C147" s="23" t="n">
        <f aca="false">IF(A147="","",$B$10)</f>
        <v>23303.279695838</v>
      </c>
      <c r="D147" s="23" t="n">
        <f aca="false">IF(A147="","",B147*$B$8)</f>
        <v>13514.9606564102</v>
      </c>
      <c r="E147" s="23" t="n">
        <f aca="false">IF(A147="","",C147-D147)</f>
        <v>9788.31903942778</v>
      </c>
      <c r="F147" s="23" t="n">
        <f aca="false">IF(A147="","",B147-E147)</f>
        <v>1697364.6059808</v>
      </c>
    </row>
    <row r="148" customFormat="false" ht="15" hidden="false" customHeight="false" outlineLevel="0" collapsed="false">
      <c r="A148" s="22" t="n">
        <f aca="false">IF(A147="","",IF(A147+1&lt;=$B$9,A147+1,""))</f>
        <v>132</v>
      </c>
      <c r="B148" s="23" t="n">
        <f aca="false">IF(A148="","",F147)</f>
        <v>1697364.6059808</v>
      </c>
      <c r="C148" s="23" t="n">
        <f aca="false">IF(A148="","",$B$10)</f>
        <v>23303.279695838</v>
      </c>
      <c r="D148" s="23" t="n">
        <f aca="false">IF(A148="","",B148*$B$8)</f>
        <v>13437.469797348</v>
      </c>
      <c r="E148" s="23" t="n">
        <f aca="false">IF(A148="","",C148-D148)</f>
        <v>9865.80989848992</v>
      </c>
      <c r="F148" s="23" t="n">
        <f aca="false">IF(A148="","",B148-E148)</f>
        <v>1687498.79608231</v>
      </c>
    </row>
    <row r="149" customFormat="false" ht="15" hidden="false" customHeight="false" outlineLevel="0" collapsed="false">
      <c r="A149" s="22" t="n">
        <f aca="false">IF(A148="","",IF(A148+1&lt;=$B$9,A148+1,""))</f>
        <v>133</v>
      </c>
      <c r="B149" s="23" t="n">
        <f aca="false">IF(A149="","",F148)</f>
        <v>1687498.79608231</v>
      </c>
      <c r="C149" s="23" t="n">
        <f aca="false">IF(A149="","",$B$10)</f>
        <v>23303.279695838</v>
      </c>
      <c r="D149" s="23" t="n">
        <f aca="false">IF(A149="","",B149*$B$8)</f>
        <v>13359.365468985</v>
      </c>
      <c r="E149" s="23" t="n">
        <f aca="false">IF(A149="","",C149-D149)</f>
        <v>9943.91422685296</v>
      </c>
      <c r="F149" s="23" t="n">
        <f aca="false">IF(A149="","",B149-E149)</f>
        <v>1677554.88185546</v>
      </c>
    </row>
    <row r="150" customFormat="false" ht="15" hidden="false" customHeight="false" outlineLevel="0" collapsed="false">
      <c r="A150" s="22" t="n">
        <f aca="false">IF(A149="","",IF(A149+1&lt;=$B$9,A149+1,""))</f>
        <v>134</v>
      </c>
      <c r="B150" s="23" t="n">
        <f aca="false">IF(A150="","",F149)</f>
        <v>1677554.88185546</v>
      </c>
      <c r="C150" s="23" t="n">
        <f aca="false">IF(A150="","",$B$10)</f>
        <v>23303.279695838</v>
      </c>
      <c r="D150" s="23" t="n">
        <f aca="false">IF(A150="","",B150*$B$8)</f>
        <v>13280.6428146891</v>
      </c>
      <c r="E150" s="23" t="n">
        <f aca="false">IF(A150="","",C150-D150)</f>
        <v>10022.6368811489</v>
      </c>
      <c r="F150" s="23" t="n">
        <f aca="false">IF(A150="","",B150-E150)</f>
        <v>1667532.24497431</v>
      </c>
    </row>
    <row r="151" customFormat="false" ht="15" hidden="false" customHeight="false" outlineLevel="0" collapsed="false">
      <c r="A151" s="22" t="n">
        <f aca="false">IF(A150="","",IF(A150+1&lt;=$B$9,A150+1,""))</f>
        <v>135</v>
      </c>
      <c r="B151" s="23" t="n">
        <f aca="false">IF(A151="","",F150)</f>
        <v>1667532.24497431</v>
      </c>
      <c r="C151" s="23" t="n">
        <f aca="false">IF(A151="","",$B$10)</f>
        <v>23303.279695838</v>
      </c>
      <c r="D151" s="23" t="n">
        <f aca="false">IF(A151="","",B151*$B$8)</f>
        <v>13201.29693938</v>
      </c>
      <c r="E151" s="23" t="n">
        <f aca="false">IF(A151="","",C151-D151)</f>
        <v>10101.982756458</v>
      </c>
      <c r="F151" s="23" t="n">
        <f aca="false">IF(A151="","",B151-E151)</f>
        <v>1657430.26221785</v>
      </c>
    </row>
    <row r="152" customFormat="false" ht="15" hidden="false" customHeight="false" outlineLevel="0" collapsed="false">
      <c r="A152" s="22" t="n">
        <f aca="false">IF(A151="","",IF(A151+1&lt;=$B$9,A151+1,""))</f>
        <v>136</v>
      </c>
      <c r="B152" s="23" t="n">
        <f aca="false">IF(A152="","",F151)</f>
        <v>1657430.26221785</v>
      </c>
      <c r="C152" s="23" t="n">
        <f aca="false">IF(A152="","",$B$10)</f>
        <v>23303.279695838</v>
      </c>
      <c r="D152" s="23" t="n">
        <f aca="false">IF(A152="","",B152*$B$8)</f>
        <v>13121.3229092247</v>
      </c>
      <c r="E152" s="23" t="n">
        <f aca="false">IF(A152="","",C152-D152)</f>
        <v>10181.9567866133</v>
      </c>
      <c r="F152" s="23" t="n">
        <f aca="false">IF(A152="","",B152-E152)</f>
        <v>1647248.30543124</v>
      </c>
    </row>
    <row r="153" customFormat="false" ht="15" hidden="false" customHeight="false" outlineLevel="0" collapsed="false">
      <c r="A153" s="22" t="n">
        <f aca="false">IF(A152="","",IF(A152+1&lt;=$B$9,A152+1,""))</f>
        <v>137</v>
      </c>
      <c r="B153" s="23" t="n">
        <f aca="false">IF(A153="","",F152)</f>
        <v>1647248.30543124</v>
      </c>
      <c r="C153" s="23" t="n">
        <f aca="false">IF(A153="","",$B$10)</f>
        <v>23303.279695838</v>
      </c>
      <c r="D153" s="23" t="n">
        <f aca="false">IF(A153="","",B153*$B$8)</f>
        <v>13040.7157513307</v>
      </c>
      <c r="E153" s="23" t="n">
        <f aca="false">IF(A153="","",C153-D153)</f>
        <v>10262.5639445073</v>
      </c>
      <c r="F153" s="23" t="n">
        <f aca="false">IF(A153="","",B153-E153)</f>
        <v>1636985.74148673</v>
      </c>
    </row>
    <row r="154" customFormat="false" ht="15" hidden="false" customHeight="false" outlineLevel="0" collapsed="false">
      <c r="A154" s="22" t="n">
        <f aca="false">IF(A153="","",IF(A153+1&lt;=$B$9,A153+1,""))</f>
        <v>138</v>
      </c>
      <c r="B154" s="23" t="n">
        <f aca="false">IF(A154="","",F153)</f>
        <v>1636985.74148673</v>
      </c>
      <c r="C154" s="23" t="n">
        <f aca="false">IF(A154="","",$B$10)</f>
        <v>23303.279695838</v>
      </c>
      <c r="D154" s="23" t="n">
        <f aca="false">IF(A154="","",B154*$B$8)</f>
        <v>12959.4704534366</v>
      </c>
      <c r="E154" s="23" t="n">
        <f aca="false">IF(A154="","",C154-D154)</f>
        <v>10343.8092424013</v>
      </c>
      <c r="F154" s="23" t="n">
        <f aca="false">IF(A154="","",B154-E154)</f>
        <v>1626641.93224433</v>
      </c>
    </row>
    <row r="155" customFormat="false" ht="15" hidden="false" customHeight="false" outlineLevel="0" collapsed="false">
      <c r="A155" s="22" t="n">
        <f aca="false">IF(A154="","",IF(A154+1&lt;=$B$9,A154+1,""))</f>
        <v>139</v>
      </c>
      <c r="B155" s="23" t="n">
        <f aca="false">IF(A155="","",F154)</f>
        <v>1626641.93224433</v>
      </c>
      <c r="C155" s="23" t="n">
        <f aca="false">IF(A155="","",$B$10)</f>
        <v>23303.279695838</v>
      </c>
      <c r="D155" s="23" t="n">
        <f aca="false">IF(A155="","",B155*$B$8)</f>
        <v>12877.581963601</v>
      </c>
      <c r="E155" s="23" t="n">
        <f aca="false">IF(A155="","",C155-D155)</f>
        <v>10425.697732237</v>
      </c>
      <c r="F155" s="23" t="n">
        <f aca="false">IF(A155="","",B155-E155)</f>
        <v>1616216.2345121</v>
      </c>
    </row>
    <row r="156" customFormat="false" ht="15" hidden="false" customHeight="false" outlineLevel="0" collapsed="false">
      <c r="A156" s="22" t="n">
        <f aca="false">IF(A155="","",IF(A155+1&lt;=$B$9,A155+1,""))</f>
        <v>140</v>
      </c>
      <c r="B156" s="23" t="n">
        <f aca="false">IF(A156="","",F155)</f>
        <v>1616216.2345121</v>
      </c>
      <c r="C156" s="23" t="n">
        <f aca="false">IF(A156="","",$B$10)</f>
        <v>23303.279695838</v>
      </c>
      <c r="D156" s="23" t="n">
        <f aca="false">IF(A156="","",B156*$B$8)</f>
        <v>12795.0451898874</v>
      </c>
      <c r="E156" s="23" t="n">
        <f aca="false">IF(A156="","",C156-D156)</f>
        <v>10508.2345059505</v>
      </c>
      <c r="F156" s="23" t="n">
        <f aca="false">IF(A156="","",B156-E156)</f>
        <v>1605708.00000615</v>
      </c>
    </row>
    <row r="157" customFormat="false" ht="15" hidden="false" customHeight="false" outlineLevel="0" collapsed="false">
      <c r="A157" s="22" t="n">
        <f aca="false">IF(A156="","",IF(A156+1&lt;=$B$9,A156+1,""))</f>
        <v>141</v>
      </c>
      <c r="B157" s="23" t="n">
        <f aca="false">IF(A157="","",F156)</f>
        <v>1605708.00000615</v>
      </c>
      <c r="C157" s="23" t="n">
        <f aca="false">IF(A157="","",$B$10)</f>
        <v>23303.279695838</v>
      </c>
      <c r="D157" s="23" t="n">
        <f aca="false">IF(A157="","",B157*$B$8)</f>
        <v>12711.8550000487</v>
      </c>
      <c r="E157" s="23" t="n">
        <f aca="false">IF(A157="","",C157-D157)</f>
        <v>10591.4246957893</v>
      </c>
      <c r="F157" s="23" t="n">
        <f aca="false">IF(A157="","",B157-E157)</f>
        <v>1595116.57531036</v>
      </c>
    </row>
    <row r="158" customFormat="false" ht="15" hidden="false" customHeight="false" outlineLevel="0" collapsed="false">
      <c r="A158" s="22" t="n">
        <f aca="false">IF(A157="","",IF(A157+1&lt;=$B$9,A157+1,""))</f>
        <v>142</v>
      </c>
      <c r="B158" s="23" t="n">
        <f aca="false">IF(A158="","",F157)</f>
        <v>1595116.57531036</v>
      </c>
      <c r="C158" s="23" t="n">
        <f aca="false">IF(A158="","",$B$10)</f>
        <v>23303.279695838</v>
      </c>
      <c r="D158" s="23" t="n">
        <f aca="false">IF(A158="","",B158*$B$8)</f>
        <v>12628.006221207</v>
      </c>
      <c r="E158" s="23" t="n">
        <f aca="false">IF(A158="","",C158-D158)</f>
        <v>10675.273474631</v>
      </c>
      <c r="F158" s="23" t="n">
        <f aca="false">IF(A158="","",B158-E158)</f>
        <v>1584441.30183572</v>
      </c>
    </row>
    <row r="159" customFormat="false" ht="15" hidden="false" customHeight="false" outlineLevel="0" collapsed="false">
      <c r="A159" s="22" t="n">
        <f aca="false">IF(A158="","",IF(A158+1&lt;=$B$9,A158+1,""))</f>
        <v>143</v>
      </c>
      <c r="B159" s="23" t="n">
        <f aca="false">IF(A159="","",F158)</f>
        <v>1584441.30183572</v>
      </c>
      <c r="C159" s="23" t="n">
        <f aca="false">IF(A159="","",$B$10)</f>
        <v>23303.279695838</v>
      </c>
      <c r="D159" s="23" t="n">
        <f aca="false">IF(A159="","",B159*$B$8)</f>
        <v>12543.4936395328</v>
      </c>
      <c r="E159" s="23" t="n">
        <f aca="false">IF(A159="","",C159-D159)</f>
        <v>10759.7860563051</v>
      </c>
      <c r="F159" s="23" t="n">
        <f aca="false">IF(A159="","",B159-E159)</f>
        <v>1573681.51577942</v>
      </c>
    </row>
    <row r="160" customFormat="false" ht="15" hidden="false" customHeight="false" outlineLevel="0" collapsed="false">
      <c r="A160" s="22" t="n">
        <f aca="false">IF(A159="","",IF(A159+1&lt;=$B$9,A159+1,""))</f>
        <v>144</v>
      </c>
      <c r="B160" s="23" t="n">
        <f aca="false">IF(A160="","",F159)</f>
        <v>1573681.51577942</v>
      </c>
      <c r="C160" s="23" t="n">
        <f aca="false">IF(A160="","",$B$10)</f>
        <v>23303.279695838</v>
      </c>
      <c r="D160" s="23" t="n">
        <f aca="false">IF(A160="","",B160*$B$8)</f>
        <v>12458.3119999204</v>
      </c>
      <c r="E160" s="23" t="n">
        <f aca="false">IF(A160="","",C160-D160)</f>
        <v>10844.9676959175</v>
      </c>
      <c r="F160" s="23" t="n">
        <f aca="false">IF(A160="","",B160-E160)</f>
        <v>1562836.5480835</v>
      </c>
    </row>
    <row r="161" customFormat="false" ht="15" hidden="false" customHeight="false" outlineLevel="0" collapsed="false">
      <c r="A161" s="22" t="n">
        <f aca="false">IF(A160="","",IF(A160+1&lt;=$B$9,A160+1,""))</f>
        <v>145</v>
      </c>
      <c r="B161" s="23" t="n">
        <f aca="false">IF(A161="","",F160)</f>
        <v>1562836.5480835</v>
      </c>
      <c r="C161" s="23" t="n">
        <f aca="false">IF(A161="","",$B$10)</f>
        <v>23303.279695838</v>
      </c>
      <c r="D161" s="23" t="n">
        <f aca="false">IF(A161="","",B161*$B$8)</f>
        <v>12372.4560056611</v>
      </c>
      <c r="E161" s="23" t="n">
        <f aca="false">IF(A161="","",C161-D161)</f>
        <v>10930.8236901769</v>
      </c>
      <c r="F161" s="23" t="n">
        <f aca="false">IF(A161="","",B161-E161)</f>
        <v>1551905.72439333</v>
      </c>
    </row>
    <row r="162" customFormat="false" ht="15" hidden="false" customHeight="false" outlineLevel="0" collapsed="false">
      <c r="A162" s="22" t="n">
        <f aca="false">IF(A161="","",IF(A161+1&lt;=$B$9,A161+1,""))</f>
        <v>146</v>
      </c>
      <c r="B162" s="23" t="n">
        <f aca="false">IF(A162="","",F161)</f>
        <v>1551905.72439333</v>
      </c>
      <c r="C162" s="23" t="n">
        <f aca="false">IF(A162="","",$B$10)</f>
        <v>23303.279695838</v>
      </c>
      <c r="D162" s="23" t="n">
        <f aca="false">IF(A162="","",B162*$B$8)</f>
        <v>12285.9203181138</v>
      </c>
      <c r="E162" s="23" t="n">
        <f aca="false">IF(A162="","",C162-D162)</f>
        <v>11017.3593777241</v>
      </c>
      <c r="F162" s="23" t="n">
        <f aca="false">IF(A162="","",B162-E162)</f>
        <v>1540888.3650156</v>
      </c>
    </row>
    <row r="163" customFormat="false" ht="15" hidden="false" customHeight="false" outlineLevel="0" collapsed="false">
      <c r="A163" s="22" t="n">
        <f aca="false">IF(A162="","",IF(A162+1&lt;=$B$9,A162+1,""))</f>
        <v>147</v>
      </c>
      <c r="B163" s="23" t="n">
        <f aca="false">IF(A163="","",F162)</f>
        <v>1540888.3650156</v>
      </c>
      <c r="C163" s="23" t="n">
        <f aca="false">IF(A163="","",$B$10)</f>
        <v>23303.279695838</v>
      </c>
      <c r="D163" s="23" t="n">
        <f aca="false">IF(A163="","",B163*$B$8)</f>
        <v>12198.6995563735</v>
      </c>
      <c r="E163" s="23" t="n">
        <f aca="false">IF(A163="","",C163-D163)</f>
        <v>11104.5801394644</v>
      </c>
      <c r="F163" s="23" t="n">
        <f aca="false">IF(A163="","",B163-E163)</f>
        <v>1529783.78487614</v>
      </c>
    </row>
    <row r="164" customFormat="false" ht="15" hidden="false" customHeight="false" outlineLevel="0" collapsed="false">
      <c r="A164" s="22" t="n">
        <f aca="false">IF(A163="","",IF(A163+1&lt;=$B$9,A163+1,""))</f>
        <v>148</v>
      </c>
      <c r="B164" s="23" t="n">
        <f aca="false">IF(A164="","",F163)</f>
        <v>1529783.78487614</v>
      </c>
      <c r="C164" s="23" t="n">
        <f aca="false">IF(A164="","",$B$10)</f>
        <v>23303.279695838</v>
      </c>
      <c r="D164" s="23" t="n">
        <f aca="false">IF(A164="","",B164*$B$8)</f>
        <v>12110.7882969361</v>
      </c>
      <c r="E164" s="23" t="n">
        <f aca="false">IF(A164="","",C164-D164)</f>
        <v>11192.4913989019</v>
      </c>
      <c r="F164" s="23" t="n">
        <f aca="false">IF(A164="","",B164-E164)</f>
        <v>1518591.29347724</v>
      </c>
    </row>
    <row r="165" customFormat="false" ht="15" hidden="false" customHeight="false" outlineLevel="0" collapsed="false">
      <c r="A165" s="22" t="n">
        <f aca="false">IF(A164="","",IF(A164+1&lt;=$B$9,A164+1,""))</f>
        <v>149</v>
      </c>
      <c r="B165" s="23" t="n">
        <f aca="false">IF(A165="","",F164)</f>
        <v>1518591.29347724</v>
      </c>
      <c r="C165" s="23" t="n">
        <f aca="false">IF(A165="","",$B$10)</f>
        <v>23303.279695838</v>
      </c>
      <c r="D165" s="23" t="n">
        <f aca="false">IF(A165="","",B165*$B$8)</f>
        <v>12022.1810733614</v>
      </c>
      <c r="E165" s="23" t="n">
        <f aca="false">IF(A165="","",C165-D165)</f>
        <v>11281.0986224765</v>
      </c>
      <c r="F165" s="23" t="n">
        <f aca="false">IF(A165="","",B165-E165)</f>
        <v>1507310.19485476</v>
      </c>
    </row>
    <row r="166" customFormat="false" ht="15" hidden="false" customHeight="false" outlineLevel="0" collapsed="false">
      <c r="A166" s="22" t="n">
        <f aca="false">IF(A165="","",IF(A165+1&lt;=$B$9,A165+1,""))</f>
        <v>150</v>
      </c>
      <c r="B166" s="23" t="n">
        <f aca="false">IF(A166="","",F165)</f>
        <v>1507310.19485476</v>
      </c>
      <c r="C166" s="23" t="n">
        <f aca="false">IF(A166="","",$B$10)</f>
        <v>23303.279695838</v>
      </c>
      <c r="D166" s="23" t="n">
        <f aca="false">IF(A166="","",B166*$B$8)</f>
        <v>11932.8723759335</v>
      </c>
      <c r="E166" s="23" t="n">
        <f aca="false">IF(A166="","",C166-D166)</f>
        <v>11370.4073199044</v>
      </c>
      <c r="F166" s="23" t="n">
        <f aca="false">IF(A166="","",B166-E166)</f>
        <v>1495939.78753485</v>
      </c>
    </row>
    <row r="167" customFormat="false" ht="15" hidden="false" customHeight="false" outlineLevel="0" collapsed="false">
      <c r="A167" s="22" t="n">
        <f aca="false">IF(A166="","",IF(A166+1&lt;=$B$9,A166+1,""))</f>
        <v>151</v>
      </c>
      <c r="B167" s="23" t="n">
        <f aca="false">IF(A167="","",F166)</f>
        <v>1495939.78753485</v>
      </c>
      <c r="C167" s="23" t="n">
        <f aca="false">IF(A167="","",$B$10)</f>
        <v>23303.279695838</v>
      </c>
      <c r="D167" s="23" t="n">
        <f aca="false">IF(A167="","",B167*$B$8)</f>
        <v>11842.8566513176</v>
      </c>
      <c r="E167" s="23" t="n">
        <f aca="false">IF(A167="","",C167-D167)</f>
        <v>11460.4230445204</v>
      </c>
      <c r="F167" s="23" t="n">
        <f aca="false">IF(A167="","",B167-E167)</f>
        <v>1484479.36449033</v>
      </c>
    </row>
    <row r="168" customFormat="false" ht="15" hidden="false" customHeight="false" outlineLevel="0" collapsed="false">
      <c r="A168" s="22" t="n">
        <f aca="false">IF(A167="","",IF(A167+1&lt;=$B$9,A167+1,""))</f>
        <v>152</v>
      </c>
      <c r="B168" s="23" t="n">
        <f aca="false">IF(A168="","",F167)</f>
        <v>1484479.36449033</v>
      </c>
      <c r="C168" s="23" t="n">
        <f aca="false">IF(A168="","",$B$10)</f>
        <v>23303.279695838</v>
      </c>
      <c r="D168" s="23" t="n">
        <f aca="false">IF(A168="","",B168*$B$8)</f>
        <v>11752.1283022151</v>
      </c>
      <c r="E168" s="23" t="n">
        <f aca="false">IF(A168="","",C168-D168)</f>
        <v>11551.1513936228</v>
      </c>
      <c r="F168" s="23" t="n">
        <f aca="false">IF(A168="","",B168-E168)</f>
        <v>1472928.21309671</v>
      </c>
    </row>
    <row r="169" customFormat="false" ht="15" hidden="false" customHeight="false" outlineLevel="0" collapsed="false">
      <c r="A169" s="22" t="n">
        <f aca="false">IF(A168="","",IF(A168+1&lt;=$B$9,A168+1,""))</f>
        <v>153</v>
      </c>
      <c r="B169" s="23" t="n">
        <f aca="false">IF(A169="","",F168)</f>
        <v>1472928.21309671</v>
      </c>
      <c r="C169" s="23" t="n">
        <f aca="false">IF(A169="","",$B$10)</f>
        <v>23303.279695838</v>
      </c>
      <c r="D169" s="23" t="n">
        <f aca="false">IF(A169="","",B169*$B$8)</f>
        <v>11660.6816870156</v>
      </c>
      <c r="E169" s="23" t="n">
        <f aca="false">IF(A169="","",C169-D169)</f>
        <v>11642.5980088223</v>
      </c>
      <c r="F169" s="23" t="n">
        <f aca="false">IF(A169="","",B169-E169)</f>
        <v>1461285.61508789</v>
      </c>
    </row>
    <row r="170" customFormat="false" ht="15" hidden="false" customHeight="false" outlineLevel="0" collapsed="false">
      <c r="A170" s="22" t="n">
        <f aca="false">IF(A169="","",IF(A169+1&lt;=$B$9,A169+1,""))</f>
        <v>154</v>
      </c>
      <c r="B170" s="23" t="n">
        <f aca="false">IF(A170="","",F169)</f>
        <v>1461285.61508789</v>
      </c>
      <c r="C170" s="23" t="n">
        <f aca="false">IF(A170="","",$B$10)</f>
        <v>23303.279695838</v>
      </c>
      <c r="D170" s="23" t="n">
        <f aca="false">IF(A170="","",B170*$B$8)</f>
        <v>11568.5111194458</v>
      </c>
      <c r="E170" s="23" t="n">
        <f aca="false">IF(A170="","",C170-D170)</f>
        <v>11734.7685763922</v>
      </c>
      <c r="F170" s="23" t="n">
        <f aca="false">IF(A170="","",B170-E170)</f>
        <v>1449550.8465115</v>
      </c>
    </row>
    <row r="171" customFormat="false" ht="15" hidden="false" customHeight="false" outlineLevel="0" collapsed="false">
      <c r="A171" s="22" t="n">
        <f aca="false">IF(A170="","",IF(A170+1&lt;=$B$9,A170+1,""))</f>
        <v>155</v>
      </c>
      <c r="B171" s="23" t="n">
        <f aca="false">IF(A171="","",F170)</f>
        <v>1449550.8465115</v>
      </c>
      <c r="C171" s="23" t="n">
        <f aca="false">IF(A171="","",$B$10)</f>
        <v>23303.279695838</v>
      </c>
      <c r="D171" s="23" t="n">
        <f aca="false">IF(A171="","",B171*$B$8)</f>
        <v>11475.610868216</v>
      </c>
      <c r="E171" s="23" t="n">
        <f aca="false">IF(A171="","",C171-D171)</f>
        <v>11827.6688276219</v>
      </c>
      <c r="F171" s="23" t="n">
        <f aca="false">IF(A171="","",B171-E171)</f>
        <v>1437723.17768387</v>
      </c>
    </row>
    <row r="172" customFormat="false" ht="15" hidden="false" customHeight="false" outlineLevel="0" collapsed="false">
      <c r="A172" s="22" t="n">
        <f aca="false">IF(A171="","",IF(A171+1&lt;=$B$9,A171+1,""))</f>
        <v>156</v>
      </c>
      <c r="B172" s="23" t="n">
        <f aca="false">IF(A172="","",F171)</f>
        <v>1437723.17768387</v>
      </c>
      <c r="C172" s="23" t="n">
        <f aca="false">IF(A172="","",$B$10)</f>
        <v>23303.279695838</v>
      </c>
      <c r="D172" s="23" t="n">
        <f aca="false">IF(A172="","",B172*$B$8)</f>
        <v>11381.975156664</v>
      </c>
      <c r="E172" s="23" t="n">
        <f aca="false">IF(A172="","",C172-D172)</f>
        <v>11921.3045391739</v>
      </c>
      <c r="F172" s="23" t="n">
        <f aca="false">IF(A172="","",B172-E172)</f>
        <v>1425801.8731447</v>
      </c>
    </row>
    <row r="173" customFormat="false" ht="15" hidden="false" customHeight="false" outlineLevel="0" collapsed="false">
      <c r="A173" s="22" t="n">
        <f aca="false">IF(A172="","",IF(A172+1&lt;=$B$9,A172+1,""))</f>
        <v>157</v>
      </c>
      <c r="B173" s="23" t="n">
        <f aca="false">IF(A173="","",F172)</f>
        <v>1425801.8731447</v>
      </c>
      <c r="C173" s="23" t="n">
        <f aca="false">IF(A173="","",$B$10)</f>
        <v>23303.279695838</v>
      </c>
      <c r="D173" s="23" t="n">
        <f aca="false">IF(A173="","",B173*$B$8)</f>
        <v>11287.5981623955</v>
      </c>
      <c r="E173" s="23" t="n">
        <f aca="false">IF(A173="","",C173-D173)</f>
        <v>12015.6815334424</v>
      </c>
      <c r="F173" s="23" t="n">
        <f aca="false">IF(A173="","",B173-E173)</f>
        <v>1413786.19161126</v>
      </c>
    </row>
    <row r="174" customFormat="false" ht="15" hidden="false" customHeight="false" outlineLevel="0" collapsed="false">
      <c r="A174" s="22" t="n">
        <f aca="false">IF(A173="","",IF(A173+1&lt;=$B$9,A173+1,""))</f>
        <v>158</v>
      </c>
      <c r="B174" s="23" t="n">
        <f aca="false">IF(A174="","",F173)</f>
        <v>1413786.19161126</v>
      </c>
      <c r="C174" s="23" t="n">
        <f aca="false">IF(A174="","",$B$10)</f>
        <v>23303.279695838</v>
      </c>
      <c r="D174" s="23" t="n">
        <f aca="false">IF(A174="","",B174*$B$8)</f>
        <v>11192.4740169225</v>
      </c>
      <c r="E174" s="23" t="n">
        <f aca="false">IF(A174="","",C174-D174)</f>
        <v>12110.8056789155</v>
      </c>
      <c r="F174" s="23" t="n">
        <f aca="false">IF(A174="","",B174-E174)</f>
        <v>1401675.38593234</v>
      </c>
    </row>
    <row r="175" customFormat="false" ht="15" hidden="false" customHeight="false" outlineLevel="0" collapsed="false">
      <c r="A175" s="22" t="n">
        <f aca="false">IF(A174="","",IF(A174+1&lt;=$B$9,A174+1,""))</f>
        <v>159</v>
      </c>
      <c r="B175" s="23" t="n">
        <f aca="false">IF(A175="","",F174)</f>
        <v>1401675.38593234</v>
      </c>
      <c r="C175" s="23" t="n">
        <f aca="false">IF(A175="","",$B$10)</f>
        <v>23303.279695838</v>
      </c>
      <c r="D175" s="23" t="n">
        <f aca="false">IF(A175="","",B175*$B$8)</f>
        <v>11096.5968052977</v>
      </c>
      <c r="E175" s="23" t="n">
        <f aca="false">IF(A175="","",C175-D175)</f>
        <v>12206.6828905402</v>
      </c>
      <c r="F175" s="23" t="n">
        <f aca="false">IF(A175="","",B175-E175)</f>
        <v>1389468.7030418</v>
      </c>
    </row>
    <row r="176" customFormat="false" ht="15" hidden="false" customHeight="false" outlineLevel="0" collapsed="false">
      <c r="A176" s="22" t="n">
        <f aca="false">IF(A175="","",IF(A175+1&lt;=$B$9,A175+1,""))</f>
        <v>160</v>
      </c>
      <c r="B176" s="23" t="n">
        <f aca="false">IF(A176="","",F175)</f>
        <v>1389468.7030418</v>
      </c>
      <c r="C176" s="23" t="n">
        <f aca="false">IF(A176="","",$B$10)</f>
        <v>23303.279695838</v>
      </c>
      <c r="D176" s="23" t="n">
        <f aca="false">IF(A176="","",B176*$B$8)</f>
        <v>10999.9605657476</v>
      </c>
      <c r="E176" s="23" t="n">
        <f aca="false">IF(A176="","",C176-D176)</f>
        <v>12303.3191300903</v>
      </c>
      <c r="F176" s="23" t="n">
        <f aca="false">IF(A176="","",B176-E176)</f>
        <v>1377165.38391171</v>
      </c>
    </row>
    <row r="177" customFormat="false" ht="15" hidden="false" customHeight="false" outlineLevel="0" collapsed="false">
      <c r="A177" s="22" t="n">
        <f aca="false">IF(A176="","",IF(A176+1&lt;=$B$9,A176+1,""))</f>
        <v>161</v>
      </c>
      <c r="B177" s="23" t="n">
        <f aca="false">IF(A177="","",F176)</f>
        <v>1377165.38391171</v>
      </c>
      <c r="C177" s="23" t="n">
        <f aca="false">IF(A177="","",$B$10)</f>
        <v>23303.279695838</v>
      </c>
      <c r="D177" s="23" t="n">
        <f aca="false">IF(A177="","",B177*$B$8)</f>
        <v>10902.5592893011</v>
      </c>
      <c r="E177" s="23" t="n">
        <f aca="false">IF(A177="","",C177-D177)</f>
        <v>12400.7204065369</v>
      </c>
      <c r="F177" s="23" t="n">
        <f aca="false">IF(A177="","",B177-E177)</f>
        <v>1364764.66350518</v>
      </c>
    </row>
    <row r="178" customFormat="false" ht="15" hidden="false" customHeight="false" outlineLevel="0" collapsed="false">
      <c r="A178" s="22" t="n">
        <f aca="false">IF(A177="","",IF(A177+1&lt;=$B$9,A177+1,""))</f>
        <v>162</v>
      </c>
      <c r="B178" s="23" t="n">
        <f aca="false">IF(A178="","",F177)</f>
        <v>1364764.66350518</v>
      </c>
      <c r="C178" s="23" t="n">
        <f aca="false">IF(A178="","",$B$10)</f>
        <v>23303.279695838</v>
      </c>
      <c r="D178" s="23" t="n">
        <f aca="false">IF(A178="","",B178*$B$8)</f>
        <v>10804.386919416</v>
      </c>
      <c r="E178" s="23" t="n">
        <f aca="false">IF(A178="","",C178-D178)</f>
        <v>12498.892776422</v>
      </c>
      <c r="F178" s="23" t="n">
        <f aca="false">IF(A178="","",B178-E178)</f>
        <v>1352265.77072875</v>
      </c>
    </row>
    <row r="179" customFormat="false" ht="15" hidden="false" customHeight="false" outlineLevel="0" collapsed="false">
      <c r="A179" s="22" t="n">
        <f aca="false">IF(A178="","",IF(A178+1&lt;=$B$9,A178+1,""))</f>
        <v>163</v>
      </c>
      <c r="B179" s="23" t="n">
        <f aca="false">IF(A179="","",F178)</f>
        <v>1352265.77072875</v>
      </c>
      <c r="C179" s="23" t="n">
        <f aca="false">IF(A179="","",$B$10)</f>
        <v>23303.279695838</v>
      </c>
      <c r="D179" s="23" t="n">
        <f aca="false">IF(A179="","",B179*$B$8)</f>
        <v>10705.4373516026</v>
      </c>
      <c r="E179" s="23" t="n">
        <f aca="false">IF(A179="","",C179-D179)</f>
        <v>12597.8423442353</v>
      </c>
      <c r="F179" s="23" t="n">
        <f aca="false">IF(A179="","",B179-E179)</f>
        <v>1339667.92838452</v>
      </c>
    </row>
    <row r="180" customFormat="false" ht="15" hidden="false" customHeight="false" outlineLevel="0" collapsed="false">
      <c r="A180" s="22" t="n">
        <f aca="false">IF(A179="","",IF(A179+1&lt;=$B$9,A179+1,""))</f>
        <v>164</v>
      </c>
      <c r="B180" s="23" t="n">
        <f aca="false">IF(A180="","",F179)</f>
        <v>1339667.92838452</v>
      </c>
      <c r="C180" s="23" t="n">
        <f aca="false">IF(A180="","",$B$10)</f>
        <v>23303.279695838</v>
      </c>
      <c r="D180" s="23" t="n">
        <f aca="false">IF(A180="","",B180*$B$8)</f>
        <v>10605.7044330441</v>
      </c>
      <c r="E180" s="23" t="n">
        <f aca="false">IF(A180="","",C180-D180)</f>
        <v>12697.5752627939</v>
      </c>
      <c r="F180" s="23" t="n">
        <f aca="false">IF(A180="","",B180-E180)</f>
        <v>1326970.35312172</v>
      </c>
    </row>
    <row r="181" customFormat="false" ht="15" hidden="false" customHeight="false" outlineLevel="0" collapsed="false">
      <c r="A181" s="22" t="n">
        <f aca="false">IF(A180="","",IF(A180+1&lt;=$B$9,A180+1,""))</f>
        <v>165</v>
      </c>
      <c r="B181" s="23" t="n">
        <f aca="false">IF(A181="","",F180)</f>
        <v>1326970.35312172</v>
      </c>
      <c r="C181" s="23" t="n">
        <f aca="false">IF(A181="","",$B$10)</f>
        <v>23303.279695838</v>
      </c>
      <c r="D181" s="23" t="n">
        <f aca="false">IF(A181="","",B181*$B$8)</f>
        <v>10505.1819622136</v>
      </c>
      <c r="E181" s="23" t="n">
        <f aca="false">IF(A181="","",C181-D181)</f>
        <v>12798.0977336243</v>
      </c>
      <c r="F181" s="23" t="n">
        <f aca="false">IF(A181="","",B181-E181)</f>
        <v>1314172.2553881</v>
      </c>
    </row>
    <row r="182" customFormat="false" ht="15" hidden="false" customHeight="false" outlineLevel="0" collapsed="false">
      <c r="A182" s="22" t="n">
        <f aca="false">IF(A181="","",IF(A181+1&lt;=$B$9,A181+1,""))</f>
        <v>166</v>
      </c>
      <c r="B182" s="23" t="n">
        <f aca="false">IF(A182="","",F181)</f>
        <v>1314172.2553881</v>
      </c>
      <c r="C182" s="23" t="n">
        <f aca="false">IF(A182="","",$B$10)</f>
        <v>23303.279695838</v>
      </c>
      <c r="D182" s="23" t="n">
        <f aca="false">IF(A182="","",B182*$B$8)</f>
        <v>10403.8636884891</v>
      </c>
      <c r="E182" s="23" t="n">
        <f aca="false">IF(A182="","",C182-D182)</f>
        <v>12899.4160073488</v>
      </c>
      <c r="F182" s="23" t="n">
        <f aca="false">IF(A182="","",B182-E182)</f>
        <v>1301272.83938075</v>
      </c>
    </row>
    <row r="183" customFormat="false" ht="15" hidden="false" customHeight="false" outlineLevel="0" collapsed="false">
      <c r="A183" s="22" t="n">
        <f aca="false">IF(A182="","",IF(A182+1&lt;=$B$9,A182+1,""))</f>
        <v>167</v>
      </c>
      <c r="B183" s="23" t="n">
        <f aca="false">IF(A183="","",F182)</f>
        <v>1301272.83938075</v>
      </c>
      <c r="C183" s="23" t="n">
        <f aca="false">IF(A183="","",$B$10)</f>
        <v>23303.279695838</v>
      </c>
      <c r="D183" s="23" t="n">
        <f aca="false">IF(A183="","",B183*$B$8)</f>
        <v>10301.7433117643</v>
      </c>
      <c r="E183" s="23" t="n">
        <f aca="false">IF(A183="","",C183-D183)</f>
        <v>13001.5363840737</v>
      </c>
      <c r="F183" s="23" t="n">
        <f aca="false">IF(A183="","",B183-E183)</f>
        <v>1288271.30299668</v>
      </c>
    </row>
    <row r="184" customFormat="false" ht="15" hidden="false" customHeight="false" outlineLevel="0" collapsed="false">
      <c r="A184" s="22" t="n">
        <f aca="false">IF(A183="","",IF(A183+1&lt;=$B$9,A183+1,""))</f>
        <v>168</v>
      </c>
      <c r="B184" s="23" t="n">
        <f aca="false">IF(A184="","",F183)</f>
        <v>1288271.30299668</v>
      </c>
      <c r="C184" s="23" t="n">
        <f aca="false">IF(A184="","",$B$10)</f>
        <v>23303.279695838</v>
      </c>
      <c r="D184" s="23" t="n">
        <f aca="false">IF(A184="","",B184*$B$8)</f>
        <v>10198.814482057</v>
      </c>
      <c r="E184" s="23" t="n">
        <f aca="false">IF(A184="","",C184-D184)</f>
        <v>13104.4652137809</v>
      </c>
      <c r="F184" s="23" t="n">
        <f aca="false">IF(A184="","",B184-E184)</f>
        <v>1275166.8377829</v>
      </c>
    </row>
    <row r="185" customFormat="false" ht="15" hidden="false" customHeight="false" outlineLevel="0" collapsed="false">
      <c r="A185" s="22" t="n">
        <f aca="false">IF(A184="","",IF(A184+1&lt;=$B$9,A184+1,""))</f>
        <v>169</v>
      </c>
      <c r="B185" s="23" t="n">
        <f aca="false">IF(A185="","",F184)</f>
        <v>1275166.8377829</v>
      </c>
      <c r="C185" s="23" t="n">
        <f aca="false">IF(A185="","",$B$10)</f>
        <v>23303.279695838</v>
      </c>
      <c r="D185" s="23" t="n">
        <f aca="false">IF(A185="","",B185*$B$8)</f>
        <v>10095.0707991146</v>
      </c>
      <c r="E185" s="23" t="n">
        <f aca="false">IF(A185="","",C185-D185)</f>
        <v>13208.2088967234</v>
      </c>
      <c r="F185" s="23" t="n">
        <f aca="false">IF(A185="","",B185-E185)</f>
        <v>1261958.62888617</v>
      </c>
    </row>
    <row r="186" customFormat="false" ht="15" hidden="false" customHeight="false" outlineLevel="0" collapsed="false">
      <c r="A186" s="22" t="n">
        <f aca="false">IF(A185="","",IF(A185+1&lt;=$B$9,A185+1,""))</f>
        <v>170</v>
      </c>
      <c r="B186" s="23" t="n">
        <f aca="false">IF(A186="","",F185)</f>
        <v>1261958.62888617</v>
      </c>
      <c r="C186" s="23" t="n">
        <f aca="false">IF(A186="","",$B$10)</f>
        <v>23303.279695838</v>
      </c>
      <c r="D186" s="23" t="n">
        <f aca="false">IF(A186="","",B186*$B$8)</f>
        <v>9990.50581201553</v>
      </c>
      <c r="E186" s="23" t="n">
        <f aca="false">IF(A186="","",C186-D186)</f>
        <v>13312.7738838224</v>
      </c>
      <c r="F186" s="23" t="n">
        <f aca="false">IF(A186="","",B186-E186)</f>
        <v>1248645.85500235</v>
      </c>
    </row>
    <row r="187" customFormat="false" ht="15" hidden="false" customHeight="false" outlineLevel="0" collapsed="false">
      <c r="A187" s="22" t="n">
        <f aca="false">IF(A186="","",IF(A186+1&lt;=$B$9,A186+1,""))</f>
        <v>171</v>
      </c>
      <c r="B187" s="23" t="n">
        <f aca="false">IF(A187="","",F186)</f>
        <v>1248645.85500235</v>
      </c>
      <c r="C187" s="23" t="n">
        <f aca="false">IF(A187="","",$B$10)</f>
        <v>23303.279695838</v>
      </c>
      <c r="D187" s="23" t="n">
        <f aca="false">IF(A187="","",B187*$B$8)</f>
        <v>9885.11301876861</v>
      </c>
      <c r="E187" s="23" t="n">
        <f aca="false">IF(A187="","",C187-D187)</f>
        <v>13418.1666770693</v>
      </c>
      <c r="F187" s="23" t="n">
        <f aca="false">IF(A187="","",B187-E187)</f>
        <v>1235227.68832528</v>
      </c>
    </row>
    <row r="188" customFormat="false" ht="15" hidden="false" customHeight="false" outlineLevel="0" collapsed="false">
      <c r="A188" s="22" t="n">
        <f aca="false">IF(A187="","",IF(A187+1&lt;=$B$9,A187+1,""))</f>
        <v>172</v>
      </c>
      <c r="B188" s="23" t="n">
        <f aca="false">IF(A188="","",F187)</f>
        <v>1235227.68832528</v>
      </c>
      <c r="C188" s="23" t="n">
        <f aca="false">IF(A188="","",$B$10)</f>
        <v>23303.279695838</v>
      </c>
      <c r="D188" s="23" t="n">
        <f aca="false">IF(A188="","",B188*$B$8)</f>
        <v>9778.88586590847</v>
      </c>
      <c r="E188" s="23" t="n">
        <f aca="false">IF(A188="","",C188-D188)</f>
        <v>13524.3938299295</v>
      </c>
      <c r="F188" s="23" t="n">
        <f aca="false">IF(A188="","",B188-E188)</f>
        <v>1221703.29449535</v>
      </c>
    </row>
    <row r="189" customFormat="false" ht="15" hidden="false" customHeight="false" outlineLevel="0" collapsed="false">
      <c r="A189" s="22" t="n">
        <f aca="false">IF(A188="","",IF(A188+1&lt;=$B$9,A188+1,""))</f>
        <v>173</v>
      </c>
      <c r="B189" s="23" t="n">
        <f aca="false">IF(A189="","",F188)</f>
        <v>1221703.29449535</v>
      </c>
      <c r="C189" s="23" t="n">
        <f aca="false">IF(A189="","",$B$10)</f>
        <v>23303.279695838</v>
      </c>
      <c r="D189" s="23" t="n">
        <f aca="false">IF(A189="","",B189*$B$8)</f>
        <v>9671.8177480882</v>
      </c>
      <c r="E189" s="23" t="n">
        <f aca="false">IF(A189="","",C189-D189)</f>
        <v>13631.4619477498</v>
      </c>
      <c r="F189" s="23" t="n">
        <f aca="false">IF(A189="","",B189-E189)</f>
        <v>1208071.8325476</v>
      </c>
    </row>
    <row r="190" customFormat="false" ht="15" hidden="false" customHeight="false" outlineLevel="0" collapsed="false">
      <c r="A190" s="22" t="n">
        <f aca="false">IF(A189="","",IF(A189+1&lt;=$B$9,A189+1,""))</f>
        <v>174</v>
      </c>
      <c r="B190" s="23" t="n">
        <f aca="false">IF(A190="","",F189)</f>
        <v>1208071.8325476</v>
      </c>
      <c r="C190" s="23" t="n">
        <f aca="false">IF(A190="","",$B$10)</f>
        <v>23303.279695838</v>
      </c>
      <c r="D190" s="23" t="n">
        <f aca="false">IF(A190="","",B190*$B$8)</f>
        <v>9563.90200766851</v>
      </c>
      <c r="E190" s="23" t="n">
        <f aca="false">IF(A190="","",C190-D190)</f>
        <v>13739.3776881694</v>
      </c>
      <c r="F190" s="23" t="n">
        <f aca="false">IF(A190="","",B190-E190)</f>
        <v>1194332.45485943</v>
      </c>
    </row>
    <row r="191" customFormat="false" ht="15" hidden="false" customHeight="false" outlineLevel="0" collapsed="false">
      <c r="A191" s="22" t="n">
        <f aca="false">IF(A190="","",IF(A190+1&lt;=$B$9,A190+1,""))</f>
        <v>175</v>
      </c>
      <c r="B191" s="23" t="n">
        <f aca="false">IF(A191="","",F190)</f>
        <v>1194332.45485943</v>
      </c>
      <c r="C191" s="23" t="n">
        <f aca="false">IF(A191="","",$B$10)</f>
        <v>23303.279695838</v>
      </c>
      <c r="D191" s="23" t="n">
        <f aca="false">IF(A191="","",B191*$B$8)</f>
        <v>9455.13193430384</v>
      </c>
      <c r="E191" s="23" t="n">
        <f aca="false">IF(A191="","",C191-D191)</f>
        <v>13848.1477615341</v>
      </c>
      <c r="F191" s="23" t="n">
        <f aca="false">IF(A191="","",B191-E191)</f>
        <v>1180484.3070979</v>
      </c>
    </row>
    <row r="192" customFormat="false" ht="15" hidden="false" customHeight="false" outlineLevel="0" collapsed="false">
      <c r="A192" s="22" t="n">
        <f aca="false">IF(A191="","",IF(A191+1&lt;=$B$9,A191+1,""))</f>
        <v>176</v>
      </c>
      <c r="B192" s="23" t="n">
        <f aca="false">IF(A192="","",F191)</f>
        <v>1180484.3070979</v>
      </c>
      <c r="C192" s="23" t="n">
        <f aca="false">IF(A192="","",$B$10)</f>
        <v>23303.279695838</v>
      </c>
      <c r="D192" s="23" t="n">
        <f aca="false">IF(A192="","",B192*$B$8)</f>
        <v>9345.50076452503</v>
      </c>
      <c r="E192" s="23" t="n">
        <f aca="false">IF(A192="","",C192-D192)</f>
        <v>13957.7789313129</v>
      </c>
      <c r="F192" s="23" t="n">
        <f aca="false">IF(A192="","",B192-E192)</f>
        <v>1166526.52816659</v>
      </c>
    </row>
    <row r="193" customFormat="false" ht="15" hidden="false" customHeight="false" outlineLevel="0" collapsed="false">
      <c r="A193" s="22" t="n">
        <f aca="false">IF(A192="","",IF(A192+1&lt;=$B$9,A192+1,""))</f>
        <v>177</v>
      </c>
      <c r="B193" s="23" t="n">
        <f aca="false">IF(A193="","",F192)</f>
        <v>1166526.52816659</v>
      </c>
      <c r="C193" s="23" t="n">
        <f aca="false">IF(A193="","",$B$10)</f>
        <v>23303.279695838</v>
      </c>
      <c r="D193" s="23" t="n">
        <f aca="false">IF(A193="","",B193*$B$8)</f>
        <v>9235.0016813188</v>
      </c>
      <c r="E193" s="23" t="n">
        <f aca="false">IF(A193="","",C193-D193)</f>
        <v>14068.2780145192</v>
      </c>
      <c r="F193" s="23" t="n">
        <f aca="false">IF(A193="","",B193-E193)</f>
        <v>1152458.25015207</v>
      </c>
    </row>
    <row r="194" customFormat="false" ht="15" hidden="false" customHeight="false" outlineLevel="0" collapsed="false">
      <c r="A194" s="22" t="n">
        <f aca="false">IF(A193="","",IF(A193+1&lt;=$B$9,A193+1,""))</f>
        <v>178</v>
      </c>
      <c r="B194" s="23" t="n">
        <f aca="false">IF(A194="","",F193)</f>
        <v>1152458.25015207</v>
      </c>
      <c r="C194" s="23" t="n">
        <f aca="false">IF(A194="","",$B$10)</f>
        <v>23303.279695838</v>
      </c>
      <c r="D194" s="23" t="n">
        <f aca="false">IF(A194="","",B194*$B$8)</f>
        <v>9123.62781370385</v>
      </c>
      <c r="E194" s="23" t="n">
        <f aca="false">IF(A194="","",C194-D194)</f>
        <v>14179.6518821341</v>
      </c>
      <c r="F194" s="23" t="n">
        <f aca="false">IF(A194="","",B194-E194)</f>
        <v>1138278.59826993</v>
      </c>
    </row>
    <row r="195" customFormat="false" ht="15" hidden="false" customHeight="false" outlineLevel="0" collapsed="false">
      <c r="A195" s="22" t="n">
        <f aca="false">IF(A194="","",IF(A194+1&lt;=$B$9,A194+1,""))</f>
        <v>179</v>
      </c>
      <c r="B195" s="23" t="n">
        <f aca="false">IF(A195="","",F194)</f>
        <v>1138278.59826993</v>
      </c>
      <c r="C195" s="23" t="n">
        <f aca="false">IF(A195="","",$B$10)</f>
        <v>23303.279695838</v>
      </c>
      <c r="D195" s="23" t="n">
        <f aca="false">IF(A195="","",B195*$B$8)</f>
        <v>9011.37223630363</v>
      </c>
      <c r="E195" s="23" t="n">
        <f aca="false">IF(A195="","",C195-D195)</f>
        <v>14291.9074595343</v>
      </c>
      <c r="F195" s="23" t="n">
        <f aca="false">IF(A195="","",B195-E195)</f>
        <v>1123986.6908104</v>
      </c>
    </row>
    <row r="196" customFormat="false" ht="15" hidden="false" customHeight="false" outlineLevel="0" collapsed="false">
      <c r="A196" s="22" t="n">
        <f aca="false">IF(A195="","",IF(A195+1&lt;=$B$9,A195+1,""))</f>
        <v>180</v>
      </c>
      <c r="B196" s="23" t="n">
        <f aca="false">IF(A196="","",F195)</f>
        <v>1123986.6908104</v>
      </c>
      <c r="C196" s="23" t="n">
        <f aca="false">IF(A196="","",$B$10)</f>
        <v>23303.279695838</v>
      </c>
      <c r="D196" s="23" t="n">
        <f aca="false">IF(A196="","",B196*$B$8)</f>
        <v>8898.22796891565</v>
      </c>
      <c r="E196" s="23" t="n">
        <f aca="false">IF(A196="","",C196-D196)</f>
        <v>14405.0517269223</v>
      </c>
      <c r="F196" s="23" t="n">
        <f aca="false">IF(A196="","",B196-E196)</f>
        <v>1109581.63908347</v>
      </c>
    </row>
    <row r="197" customFormat="false" ht="15" hidden="false" customHeight="false" outlineLevel="0" collapsed="false">
      <c r="A197" s="22" t="n">
        <f aca="false">IF(A196="","",IF(A196+1&lt;=$B$9,A196+1,""))</f>
        <v>181</v>
      </c>
      <c r="B197" s="23" t="n">
        <f aca="false">IF(A197="","",F196)</f>
        <v>1109581.63908347</v>
      </c>
      <c r="C197" s="23" t="n">
        <f aca="false">IF(A197="","",$B$10)</f>
        <v>23303.279695838</v>
      </c>
      <c r="D197" s="23" t="n">
        <f aca="false">IF(A197="","",B197*$B$8)</f>
        <v>8784.18797607751</v>
      </c>
      <c r="E197" s="23" t="n">
        <f aca="false">IF(A197="","",C197-D197)</f>
        <v>14519.0917197604</v>
      </c>
      <c r="F197" s="23" t="n">
        <f aca="false">IF(A197="","",B197-E197)</f>
        <v>1095062.54736371</v>
      </c>
    </row>
    <row r="198" customFormat="false" ht="15" hidden="false" customHeight="false" outlineLevel="0" collapsed="false">
      <c r="A198" s="22" t="n">
        <f aca="false">IF(A197="","",IF(A197+1&lt;=$B$9,A197+1,""))</f>
        <v>182</v>
      </c>
      <c r="B198" s="23" t="n">
        <f aca="false">IF(A198="","",F197)</f>
        <v>1095062.54736371</v>
      </c>
      <c r="C198" s="23" t="n">
        <f aca="false">IF(A198="","",$B$10)</f>
        <v>23303.279695838</v>
      </c>
      <c r="D198" s="23" t="n">
        <f aca="false">IF(A198="","",B198*$B$8)</f>
        <v>8669.24516662941</v>
      </c>
      <c r="E198" s="23" t="n">
        <f aca="false">IF(A198="","",C198-D198)</f>
        <v>14634.0345292085</v>
      </c>
      <c r="F198" s="23" t="n">
        <f aca="false">IF(A198="","",B198-E198)</f>
        <v>1080428.51283451</v>
      </c>
    </row>
    <row r="199" customFormat="false" ht="15" hidden="false" customHeight="false" outlineLevel="0" collapsed="false">
      <c r="A199" s="22" t="n">
        <f aca="false">IF(A198="","",IF(A198+1&lt;=$B$9,A198+1,""))</f>
        <v>183</v>
      </c>
      <c r="B199" s="23" t="n">
        <f aca="false">IF(A199="","",F198)</f>
        <v>1080428.51283451</v>
      </c>
      <c r="C199" s="23" t="n">
        <f aca="false">IF(A199="","",$B$10)</f>
        <v>23303.279695838</v>
      </c>
      <c r="D199" s="23" t="n">
        <f aca="false">IF(A199="","",B199*$B$8)</f>
        <v>8553.39239327317</v>
      </c>
      <c r="E199" s="23" t="n">
        <f aca="false">IF(A199="","",C199-D199)</f>
        <v>14749.8873025648</v>
      </c>
      <c r="F199" s="23" t="n">
        <f aca="false">IF(A199="","",B199-E199)</f>
        <v>1065678.62553194</v>
      </c>
    </row>
    <row r="200" customFormat="false" ht="15" hidden="false" customHeight="false" outlineLevel="0" collapsed="false">
      <c r="A200" s="22" t="n">
        <f aca="false">IF(A199="","",IF(A199+1&lt;=$B$9,A199+1,""))</f>
        <v>184</v>
      </c>
      <c r="B200" s="23" t="n">
        <f aca="false">IF(A200="","",F199)</f>
        <v>1065678.62553194</v>
      </c>
      <c r="C200" s="23" t="n">
        <f aca="false">IF(A200="","",$B$10)</f>
        <v>23303.279695838</v>
      </c>
      <c r="D200" s="23" t="n">
        <f aca="false">IF(A200="","",B200*$B$8)</f>
        <v>8436.62245212787</v>
      </c>
      <c r="E200" s="23" t="n">
        <f aca="false">IF(A200="","",C200-D200)</f>
        <v>14866.6572437101</v>
      </c>
      <c r="F200" s="23" t="n">
        <f aca="false">IF(A200="","",B200-E200)</f>
        <v>1050811.96828823</v>
      </c>
    </row>
    <row r="201" customFormat="false" ht="15" hidden="false" customHeight="false" outlineLevel="0" collapsed="false">
      <c r="A201" s="22" t="n">
        <f aca="false">IF(A200="","",IF(A200+1&lt;=$B$9,A200+1,""))</f>
        <v>185</v>
      </c>
      <c r="B201" s="23" t="n">
        <f aca="false">IF(A201="","",F200)</f>
        <v>1050811.96828823</v>
      </c>
      <c r="C201" s="23" t="n">
        <f aca="false">IF(A201="","",$B$10)</f>
        <v>23303.279695838</v>
      </c>
      <c r="D201" s="23" t="n">
        <f aca="false">IF(A201="","",B201*$B$8)</f>
        <v>8318.92808228183</v>
      </c>
      <c r="E201" s="23" t="n">
        <f aca="false">IF(A201="","",C201-D201)</f>
        <v>14984.3516135561</v>
      </c>
      <c r="F201" s="23" t="n">
        <f aca="false">IF(A201="","",B201-E201)</f>
        <v>1035827.61667468</v>
      </c>
    </row>
    <row r="202" customFormat="false" ht="15" hidden="false" customHeight="false" outlineLevel="0" collapsed="false">
      <c r="A202" s="22" t="n">
        <f aca="false">IF(A201="","",IF(A201+1&lt;=$B$9,A201+1,""))</f>
        <v>186</v>
      </c>
      <c r="B202" s="23" t="n">
        <f aca="false">IF(A202="","",F201)</f>
        <v>1035827.61667468</v>
      </c>
      <c r="C202" s="23" t="n">
        <f aca="false">IF(A202="","",$B$10)</f>
        <v>23303.279695838</v>
      </c>
      <c r="D202" s="23" t="n">
        <f aca="false">IF(A202="","",B202*$B$8)</f>
        <v>8200.30196534118</v>
      </c>
      <c r="E202" s="23" t="n">
        <f aca="false">IF(A202="","",C202-D202)</f>
        <v>15102.9777304968</v>
      </c>
      <c r="F202" s="23" t="n">
        <f aca="false">IF(A202="","",B202-E202)</f>
        <v>1020724.63894418</v>
      </c>
    </row>
    <row r="203" customFormat="false" ht="15" hidden="false" customHeight="false" outlineLevel="0" collapsed="false">
      <c r="A203" s="22" t="n">
        <f aca="false">IF(A202="","",IF(A202+1&lt;=$B$9,A202+1,""))</f>
        <v>187</v>
      </c>
      <c r="B203" s="23" t="n">
        <f aca="false">IF(A203="","",F202)</f>
        <v>1020724.63894418</v>
      </c>
      <c r="C203" s="23" t="n">
        <f aca="false">IF(A203="","",$B$10)</f>
        <v>23303.279695838</v>
      </c>
      <c r="D203" s="23" t="n">
        <f aca="false">IF(A203="","",B203*$B$8)</f>
        <v>8080.73672497475</v>
      </c>
      <c r="E203" s="23" t="n">
        <f aca="false">IF(A203="","",C203-D203)</f>
        <v>15222.5429708632</v>
      </c>
      <c r="F203" s="23" t="n">
        <f aca="false">IF(A203="","",B203-E203)</f>
        <v>1005502.09597332</v>
      </c>
    </row>
    <row r="204" customFormat="false" ht="15" hidden="false" customHeight="false" outlineLevel="0" collapsed="false">
      <c r="A204" s="22" t="n">
        <f aca="false">IF(A203="","",IF(A203+1&lt;=$B$9,A203+1,""))</f>
        <v>188</v>
      </c>
      <c r="B204" s="23" t="n">
        <f aca="false">IF(A204="","",F203)</f>
        <v>1005502.09597332</v>
      </c>
      <c r="C204" s="23" t="n">
        <f aca="false">IF(A204="","",$B$10)</f>
        <v>23303.279695838</v>
      </c>
      <c r="D204" s="23" t="n">
        <f aca="false">IF(A204="","",B204*$B$8)</f>
        <v>7960.22492645541</v>
      </c>
      <c r="E204" s="23" t="n">
        <f aca="false">IF(A204="","",C204-D204)</f>
        <v>15343.0547693825</v>
      </c>
      <c r="F204" s="23" t="n">
        <f aca="false">IF(A204="","",B204-E204)</f>
        <v>990159.041203933</v>
      </c>
    </row>
    <row r="205" customFormat="false" ht="15" hidden="false" customHeight="false" outlineLevel="0" collapsed="false">
      <c r="A205" s="22" t="n">
        <f aca="false">IF(A204="","",IF(A204+1&lt;=$B$9,A204+1,""))</f>
        <v>189</v>
      </c>
      <c r="B205" s="23" t="n">
        <f aca="false">IF(A205="","",F204)</f>
        <v>990159.041203933</v>
      </c>
      <c r="C205" s="23" t="n">
        <f aca="false">IF(A205="","",$B$10)</f>
        <v>23303.279695838</v>
      </c>
      <c r="D205" s="23" t="n">
        <f aca="false">IF(A205="","",B205*$B$8)</f>
        <v>7838.7590761978</v>
      </c>
      <c r="E205" s="23" t="n">
        <f aca="false">IF(A205="","",C205-D205)</f>
        <v>15464.5206196401</v>
      </c>
      <c r="F205" s="23" t="n">
        <f aca="false">IF(A205="","",B205-E205)</f>
        <v>974694.520584293</v>
      </c>
    </row>
    <row r="206" customFormat="false" ht="15" hidden="false" customHeight="false" outlineLevel="0" collapsed="false">
      <c r="A206" s="22" t="n">
        <f aca="false">IF(A205="","",IF(A205+1&lt;=$B$9,A205+1,""))</f>
        <v>190</v>
      </c>
      <c r="B206" s="23" t="n">
        <f aca="false">IF(A206="","",F205)</f>
        <v>974694.520584293</v>
      </c>
      <c r="C206" s="23" t="n">
        <f aca="false">IF(A206="","",$B$10)</f>
        <v>23303.279695838</v>
      </c>
      <c r="D206" s="23" t="n">
        <f aca="false">IF(A206="","",B206*$B$8)</f>
        <v>7716.33162129232</v>
      </c>
      <c r="E206" s="23" t="n">
        <f aca="false">IF(A206="","",C206-D206)</f>
        <v>15586.9480745456</v>
      </c>
      <c r="F206" s="23" t="n">
        <f aca="false">IF(A206="","",B206-E206)</f>
        <v>959107.572509747</v>
      </c>
    </row>
    <row r="207" customFormat="false" ht="15" hidden="false" customHeight="false" outlineLevel="0" collapsed="false">
      <c r="A207" s="22" t="n">
        <f aca="false">IF(A206="","",IF(A206+1&lt;=$B$9,A206+1,""))</f>
        <v>191</v>
      </c>
      <c r="B207" s="23" t="n">
        <f aca="false">IF(A207="","",F206)</f>
        <v>959107.572509747</v>
      </c>
      <c r="C207" s="23" t="n">
        <f aca="false">IF(A207="","",$B$10)</f>
        <v>23303.279695838</v>
      </c>
      <c r="D207" s="23" t="n">
        <f aca="false">IF(A207="","",B207*$B$8)</f>
        <v>7592.9349490355</v>
      </c>
      <c r="E207" s="23" t="n">
        <f aca="false">IF(A207="","",C207-D207)</f>
        <v>15710.3447468025</v>
      </c>
      <c r="F207" s="23" t="n">
        <f aca="false">IF(A207="","",B207-E207)</f>
        <v>943397.227762945</v>
      </c>
    </row>
    <row r="208" customFormat="false" ht="15" hidden="false" customHeight="false" outlineLevel="0" collapsed="false">
      <c r="A208" s="22" t="n">
        <f aca="false">IF(A207="","",IF(A207+1&lt;=$B$9,A207+1,""))</f>
        <v>192</v>
      </c>
      <c r="B208" s="23" t="n">
        <f aca="false">IF(A208="","",F207)</f>
        <v>943397.227762945</v>
      </c>
      <c r="C208" s="23" t="n">
        <f aca="false">IF(A208="","",$B$10)</f>
        <v>23303.279695838</v>
      </c>
      <c r="D208" s="23" t="n">
        <f aca="false">IF(A208="","",B208*$B$8)</f>
        <v>7468.56138645665</v>
      </c>
      <c r="E208" s="23" t="n">
        <f aca="false">IF(A208="","",C208-D208)</f>
        <v>15834.7183093813</v>
      </c>
      <c r="F208" s="23" t="n">
        <f aca="false">IF(A208="","",B208-E208)</f>
        <v>927562.509453563</v>
      </c>
    </row>
    <row r="209" customFormat="false" ht="15" hidden="false" customHeight="false" outlineLevel="0" collapsed="false">
      <c r="A209" s="22" t="n">
        <f aca="false">IF(A208="","",IF(A208+1&lt;=$B$9,A208+1,""))</f>
        <v>193</v>
      </c>
      <c r="B209" s="23" t="n">
        <f aca="false">IF(A209="","",F208)</f>
        <v>927562.509453563</v>
      </c>
      <c r="C209" s="23" t="n">
        <f aca="false">IF(A209="","",$B$10)</f>
        <v>23303.279695838</v>
      </c>
      <c r="D209" s="23" t="n">
        <f aca="false">IF(A209="","",B209*$B$8)</f>
        <v>7343.20319984071</v>
      </c>
      <c r="E209" s="23" t="n">
        <f aca="false">IF(A209="","",C209-D209)</f>
        <v>15960.0764959972</v>
      </c>
      <c r="F209" s="23" t="n">
        <f aca="false">IF(A209="","",B209-E209)</f>
        <v>911602.432957566</v>
      </c>
    </row>
    <row r="210" customFormat="false" ht="15" hidden="false" customHeight="false" outlineLevel="0" collapsed="false">
      <c r="A210" s="22" t="n">
        <f aca="false">IF(A209="","",IF(A209+1&lt;=$B$9,A209+1,""))</f>
        <v>194</v>
      </c>
      <c r="B210" s="23" t="n">
        <f aca="false">IF(A210="","",F209)</f>
        <v>911602.432957566</v>
      </c>
      <c r="C210" s="23" t="n">
        <f aca="false">IF(A210="","",$B$10)</f>
        <v>23303.279695838</v>
      </c>
      <c r="D210" s="23" t="n">
        <f aca="false">IF(A210="","",B210*$B$8)</f>
        <v>7216.8525942474</v>
      </c>
      <c r="E210" s="23" t="n">
        <f aca="false">IF(A210="","",C210-D210)</f>
        <v>16086.4271015906</v>
      </c>
      <c r="F210" s="23" t="n">
        <f aca="false">IF(A210="","",B210-E210)</f>
        <v>895516.005855975</v>
      </c>
    </row>
    <row r="211" customFormat="false" ht="15" hidden="false" customHeight="false" outlineLevel="0" collapsed="false">
      <c r="A211" s="22" t="n">
        <f aca="false">IF(A210="","",IF(A210+1&lt;=$B$9,A210+1,""))</f>
        <v>195</v>
      </c>
      <c r="B211" s="23" t="n">
        <f aca="false">IF(A211="","",F210)</f>
        <v>895516.005855975</v>
      </c>
      <c r="C211" s="23" t="n">
        <f aca="false">IF(A211="","",$B$10)</f>
        <v>23303.279695838</v>
      </c>
      <c r="D211" s="23" t="n">
        <f aca="false">IF(A211="","",B211*$B$8)</f>
        <v>7089.50171302647</v>
      </c>
      <c r="E211" s="23" t="n">
        <f aca="false">IF(A211="","",C211-D211)</f>
        <v>16213.7779828115</v>
      </c>
      <c r="F211" s="23" t="n">
        <f aca="false">IF(A211="","",B211-E211)</f>
        <v>879302.227873164</v>
      </c>
    </row>
    <row r="212" customFormat="false" ht="15" hidden="false" customHeight="false" outlineLevel="0" collapsed="false">
      <c r="A212" s="22" t="n">
        <f aca="false">IF(A211="","",IF(A211+1&lt;=$B$9,A211+1,""))</f>
        <v>196</v>
      </c>
      <c r="B212" s="23" t="n">
        <f aca="false">IF(A212="","",F211)</f>
        <v>879302.227873164</v>
      </c>
      <c r="C212" s="23" t="n">
        <f aca="false">IF(A212="","",$B$10)</f>
        <v>23303.279695838</v>
      </c>
      <c r="D212" s="23" t="n">
        <f aca="false">IF(A212="","",B212*$B$8)</f>
        <v>6961.14263732922</v>
      </c>
      <c r="E212" s="23" t="n">
        <f aca="false">IF(A212="","",C212-D212)</f>
        <v>16342.1370585087</v>
      </c>
      <c r="F212" s="23" t="n">
        <f aca="false">IF(A212="","",B212-E212)</f>
        <v>862960.090814655</v>
      </c>
    </row>
    <row r="213" customFormat="false" ht="15" hidden="false" customHeight="false" outlineLevel="0" collapsed="false">
      <c r="A213" s="22" t="n">
        <f aca="false">IF(A212="","",IF(A212+1&lt;=$B$9,A212+1,""))</f>
        <v>197</v>
      </c>
      <c r="B213" s="23" t="n">
        <f aca="false">IF(A213="","",F212)</f>
        <v>862960.090814655</v>
      </c>
      <c r="C213" s="23" t="n">
        <f aca="false">IF(A213="","",$B$10)</f>
        <v>23303.279695838</v>
      </c>
      <c r="D213" s="23" t="n">
        <f aca="false">IF(A213="","",B213*$B$8)</f>
        <v>6831.76738561602</v>
      </c>
      <c r="E213" s="23" t="n">
        <f aca="false">IF(A213="","",C213-D213)</f>
        <v>16471.5123102219</v>
      </c>
      <c r="F213" s="23" t="n">
        <f aca="false">IF(A213="","",B213-E213)</f>
        <v>846488.578504433</v>
      </c>
    </row>
    <row r="214" customFormat="false" ht="15" hidden="false" customHeight="false" outlineLevel="0" collapsed="false">
      <c r="A214" s="22" t="n">
        <f aca="false">IF(A213="","",IF(A213+1&lt;=$B$9,A213+1,""))</f>
        <v>198</v>
      </c>
      <c r="B214" s="23" t="n">
        <f aca="false">IF(A214="","",F213)</f>
        <v>846488.578504433</v>
      </c>
      <c r="C214" s="23" t="n">
        <f aca="false">IF(A214="","",$B$10)</f>
        <v>23303.279695838</v>
      </c>
      <c r="D214" s="23" t="n">
        <f aca="false">IF(A214="","",B214*$B$8)</f>
        <v>6701.3679131601</v>
      </c>
      <c r="E214" s="23" t="n">
        <f aca="false">IF(A214="","",C214-D214)</f>
        <v>16601.9117826779</v>
      </c>
      <c r="F214" s="23" t="n">
        <f aca="false">IF(A214="","",B214-E214)</f>
        <v>829886.666721756</v>
      </c>
    </row>
    <row r="215" customFormat="false" ht="15" hidden="false" customHeight="false" outlineLevel="0" collapsed="false">
      <c r="A215" s="22" t="n">
        <f aca="false">IF(A214="","",IF(A214+1&lt;=$B$9,A214+1,""))</f>
        <v>199</v>
      </c>
      <c r="B215" s="23" t="n">
        <f aca="false">IF(A215="","",F214)</f>
        <v>829886.666721756</v>
      </c>
      <c r="C215" s="23" t="n">
        <f aca="false">IF(A215="","",$B$10)</f>
        <v>23303.279695838</v>
      </c>
      <c r="D215" s="23" t="n">
        <f aca="false">IF(A215="","",B215*$B$8)</f>
        <v>6569.93611154723</v>
      </c>
      <c r="E215" s="23" t="n">
        <f aca="false">IF(A215="","",C215-D215)</f>
        <v>16733.3435842907</v>
      </c>
      <c r="F215" s="23" t="n">
        <f aca="false">IF(A215="","",B215-E215)</f>
        <v>813153.323137465</v>
      </c>
    </row>
    <row r="216" customFormat="false" ht="15" hidden="false" customHeight="false" outlineLevel="0" collapsed="false">
      <c r="A216" s="22" t="n">
        <f aca="false">IF(A215="","",IF(A215+1&lt;=$B$9,A215+1,""))</f>
        <v>200</v>
      </c>
      <c r="B216" s="23" t="n">
        <f aca="false">IF(A216="","",F215)</f>
        <v>813153.323137465</v>
      </c>
      <c r="C216" s="23" t="n">
        <f aca="false">IF(A216="","",$B$10)</f>
        <v>23303.279695838</v>
      </c>
      <c r="D216" s="23" t="n">
        <f aca="false">IF(A216="","",B216*$B$8)</f>
        <v>6437.4638081716</v>
      </c>
      <c r="E216" s="23" t="n">
        <f aca="false">IF(A216="","",C216-D216)</f>
        <v>16865.8158876664</v>
      </c>
      <c r="F216" s="23" t="n">
        <f aca="false">IF(A216="","",B216-E216)</f>
        <v>796287.507249799</v>
      </c>
    </row>
    <row r="217" customFormat="false" ht="15" hidden="false" customHeight="false" outlineLevel="0" collapsed="false">
      <c r="A217" s="22" t="n">
        <f aca="false">IF(A216="","",IF(A216+1&lt;=$B$9,A216+1,""))</f>
        <v>201</v>
      </c>
      <c r="B217" s="23" t="n">
        <f aca="false">IF(A217="","",F216)</f>
        <v>796287.507249799</v>
      </c>
      <c r="C217" s="23" t="n">
        <f aca="false">IF(A217="","",$B$10)</f>
        <v>23303.279695838</v>
      </c>
      <c r="D217" s="23" t="n">
        <f aca="false">IF(A217="","",B217*$B$8)</f>
        <v>6303.94276572757</v>
      </c>
      <c r="E217" s="23" t="n">
        <f aca="false">IF(A217="","",C217-D217)</f>
        <v>16999.3369301104</v>
      </c>
      <c r="F217" s="23" t="n">
        <f aca="false">IF(A217="","",B217-E217)</f>
        <v>779288.170319688</v>
      </c>
    </row>
    <row r="218" customFormat="false" ht="15" hidden="false" customHeight="false" outlineLevel="0" collapsed="false">
      <c r="A218" s="22" t="n">
        <f aca="false">IF(A217="","",IF(A217+1&lt;=$B$9,A217+1,""))</f>
        <v>202</v>
      </c>
      <c r="B218" s="23" t="n">
        <f aca="false">IF(A218="","",F217)</f>
        <v>779288.170319688</v>
      </c>
      <c r="C218" s="23" t="n">
        <f aca="false">IF(A218="","",$B$10)</f>
        <v>23303.279695838</v>
      </c>
      <c r="D218" s="23" t="n">
        <f aca="false">IF(A218="","",B218*$B$8)</f>
        <v>6169.36468169753</v>
      </c>
      <c r="E218" s="23" t="n">
        <f aca="false">IF(A218="","",C218-D218)</f>
        <v>17133.9150141404</v>
      </c>
      <c r="F218" s="23" t="n">
        <f aca="false">IF(A218="","",B218-E218)</f>
        <v>762154.255305548</v>
      </c>
    </row>
    <row r="219" customFormat="false" ht="15" hidden="false" customHeight="false" outlineLevel="0" collapsed="false">
      <c r="A219" s="22" t="n">
        <f aca="false">IF(A218="","",IF(A218+1&lt;=$B$9,A218+1,""))</f>
        <v>203</v>
      </c>
      <c r="B219" s="23" t="n">
        <f aca="false">IF(A219="","",F218)</f>
        <v>762154.255305548</v>
      </c>
      <c r="C219" s="23" t="n">
        <f aca="false">IF(A219="","",$B$10)</f>
        <v>23303.279695838</v>
      </c>
      <c r="D219" s="23" t="n">
        <f aca="false">IF(A219="","",B219*$B$8)</f>
        <v>6033.72118783559</v>
      </c>
      <c r="E219" s="23" t="n">
        <f aca="false">IF(A219="","",C219-D219)</f>
        <v>17269.5585080024</v>
      </c>
      <c r="F219" s="23" t="n">
        <f aca="false">IF(A219="","",B219-E219)</f>
        <v>744884.696797545</v>
      </c>
    </row>
    <row r="220" customFormat="false" ht="15" hidden="false" customHeight="false" outlineLevel="0" collapsed="false">
      <c r="A220" s="22" t="n">
        <f aca="false">IF(A219="","",IF(A219+1&lt;=$B$9,A219+1,""))</f>
        <v>204</v>
      </c>
      <c r="B220" s="23" t="n">
        <f aca="false">IF(A220="","",F219)</f>
        <v>744884.696797545</v>
      </c>
      <c r="C220" s="23" t="n">
        <f aca="false">IF(A220="","",$B$10)</f>
        <v>23303.279695838</v>
      </c>
      <c r="D220" s="23" t="n">
        <f aca="false">IF(A220="","",B220*$B$8)</f>
        <v>5897.00384964724</v>
      </c>
      <c r="E220" s="23" t="n">
        <f aca="false">IF(A220="","",C220-D220)</f>
        <v>17406.2758461907</v>
      </c>
      <c r="F220" s="23" t="n">
        <f aca="false">IF(A220="","",B220-E220)</f>
        <v>727478.420951355</v>
      </c>
    </row>
    <row r="221" customFormat="false" ht="15" hidden="false" customHeight="false" outlineLevel="0" collapsed="false">
      <c r="A221" s="22" t="n">
        <f aca="false">IF(A220="","",IF(A220+1&lt;=$B$9,A220+1,""))</f>
        <v>205</v>
      </c>
      <c r="B221" s="23" t="n">
        <f aca="false">IF(A221="","",F220)</f>
        <v>727478.420951355</v>
      </c>
      <c r="C221" s="23" t="n">
        <f aca="false">IF(A221="","",$B$10)</f>
        <v>23303.279695838</v>
      </c>
      <c r="D221" s="23" t="n">
        <f aca="false">IF(A221="","",B221*$B$8)</f>
        <v>5759.20416586489</v>
      </c>
      <c r="E221" s="23" t="n">
        <f aca="false">IF(A221="","",C221-D221)</f>
        <v>17544.0755299731</v>
      </c>
      <c r="F221" s="23" t="n">
        <f aca="false">IF(A221="","",B221-E221)</f>
        <v>709934.345421382</v>
      </c>
    </row>
    <row r="222" customFormat="false" ht="15" hidden="false" customHeight="false" outlineLevel="0" collapsed="false">
      <c r="A222" s="22" t="n">
        <f aca="false">IF(A221="","",IF(A221+1&lt;=$B$9,A221+1,""))</f>
        <v>206</v>
      </c>
      <c r="B222" s="23" t="n">
        <f aca="false">IF(A222="","",F221)</f>
        <v>709934.345421382</v>
      </c>
      <c r="C222" s="23" t="n">
        <f aca="false">IF(A222="","",$B$10)</f>
        <v>23303.279695838</v>
      </c>
      <c r="D222" s="23" t="n">
        <f aca="false">IF(A222="","",B222*$B$8)</f>
        <v>5620.31356791927</v>
      </c>
      <c r="E222" s="23" t="n">
        <f aca="false">IF(A222="","",C222-D222)</f>
        <v>17682.9661279187</v>
      </c>
      <c r="F222" s="23" t="n">
        <f aca="false">IF(A222="","",B222-E222)</f>
        <v>692251.379293463</v>
      </c>
    </row>
    <row r="223" customFormat="false" ht="15" hidden="false" customHeight="false" outlineLevel="0" collapsed="false">
      <c r="A223" s="22" t="n">
        <f aca="false">IF(A222="","",IF(A222+1&lt;=$B$9,A222+1,""))</f>
        <v>207</v>
      </c>
      <c r="B223" s="23" t="n">
        <f aca="false">IF(A223="","",F222)</f>
        <v>692251.379293463</v>
      </c>
      <c r="C223" s="23" t="n">
        <f aca="false">IF(A223="","",$B$10)</f>
        <v>23303.279695838</v>
      </c>
      <c r="D223" s="23" t="n">
        <f aca="false">IF(A223="","",B223*$B$8)</f>
        <v>5480.32341940658</v>
      </c>
      <c r="E223" s="23" t="n">
        <f aca="false">IF(A223="","",C223-D223)</f>
        <v>17822.9562764314</v>
      </c>
      <c r="F223" s="23" t="n">
        <f aca="false">IF(A223="","",B223-E223)</f>
        <v>674428.423017032</v>
      </c>
    </row>
    <row r="224" customFormat="false" ht="15" hidden="false" customHeight="false" outlineLevel="0" collapsed="false">
      <c r="A224" s="22" t="n">
        <f aca="false">IF(A223="","",IF(A223+1&lt;=$B$9,A223+1,""))</f>
        <v>208</v>
      </c>
      <c r="B224" s="23" t="n">
        <f aca="false">IF(A224="","",F223)</f>
        <v>674428.423017032</v>
      </c>
      <c r="C224" s="23" t="n">
        <f aca="false">IF(A224="","",$B$10)</f>
        <v>23303.279695838</v>
      </c>
      <c r="D224" s="23" t="n">
        <f aca="false">IF(A224="","",B224*$B$8)</f>
        <v>5339.2250155515</v>
      </c>
      <c r="E224" s="23" t="n">
        <f aca="false">IF(A224="","",C224-D224)</f>
        <v>17964.0546802865</v>
      </c>
      <c r="F224" s="23" t="n">
        <f aca="false">IF(A224="","",B224-E224)</f>
        <v>656464.368336745</v>
      </c>
    </row>
    <row r="225" customFormat="false" ht="15" hidden="false" customHeight="false" outlineLevel="0" collapsed="false">
      <c r="A225" s="22" t="n">
        <f aca="false">IF(A224="","",IF(A224+1&lt;=$B$9,A224+1,""))</f>
        <v>209</v>
      </c>
      <c r="B225" s="23" t="n">
        <f aca="false">IF(A225="","",F224)</f>
        <v>656464.368336745</v>
      </c>
      <c r="C225" s="23" t="n">
        <f aca="false">IF(A225="","",$B$10)</f>
        <v>23303.279695838</v>
      </c>
      <c r="D225" s="23" t="n">
        <f aca="false">IF(A225="","",B225*$B$8)</f>
        <v>5197.0095826659</v>
      </c>
      <c r="E225" s="23" t="n">
        <f aca="false">IF(A225="","",C225-D225)</f>
        <v>18106.2701131721</v>
      </c>
      <c r="F225" s="23" t="n">
        <f aca="false">IF(A225="","",B225-E225)</f>
        <v>638358.098223573</v>
      </c>
    </row>
    <row r="226" customFormat="false" ht="15" hidden="false" customHeight="false" outlineLevel="0" collapsed="false">
      <c r="A226" s="22" t="n">
        <f aca="false">IF(A225="","",IF(A225+1&lt;=$B$9,A225+1,""))</f>
        <v>210</v>
      </c>
      <c r="B226" s="23" t="n">
        <f aca="false">IF(A226="","",F225)</f>
        <v>638358.098223573</v>
      </c>
      <c r="C226" s="23" t="n">
        <f aca="false">IF(A226="","",$B$10)</f>
        <v>23303.279695838</v>
      </c>
      <c r="D226" s="23" t="n">
        <f aca="false">IF(A226="","",B226*$B$8)</f>
        <v>5053.66827760329</v>
      </c>
      <c r="E226" s="23" t="n">
        <f aca="false">IF(A226="","",C226-D226)</f>
        <v>18249.6114182347</v>
      </c>
      <c r="F226" s="23" t="n">
        <f aca="false">IF(A226="","",B226-E226)</f>
        <v>620108.486805339</v>
      </c>
    </row>
    <row r="227" customFormat="false" ht="15" hidden="false" customHeight="false" outlineLevel="0" collapsed="false">
      <c r="A227" s="22" t="n">
        <f aca="false">IF(A226="","",IF(A226+1&lt;=$B$9,A226+1,""))</f>
        <v>211</v>
      </c>
      <c r="B227" s="23" t="n">
        <f aca="false">IF(A227="","",F226)</f>
        <v>620108.486805339</v>
      </c>
      <c r="C227" s="23" t="n">
        <f aca="false">IF(A227="","",$B$10)</f>
        <v>23303.279695838</v>
      </c>
      <c r="D227" s="23" t="n">
        <f aca="false">IF(A227="","",B227*$B$8)</f>
        <v>4909.19218720893</v>
      </c>
      <c r="E227" s="23" t="n">
        <f aca="false">IF(A227="","",C227-D227)</f>
        <v>18394.087508629</v>
      </c>
      <c r="F227" s="23" t="n">
        <f aca="false">IF(A227="","",B227-E227)</f>
        <v>601714.39929671</v>
      </c>
    </row>
    <row r="228" customFormat="false" ht="15" hidden="false" customHeight="false" outlineLevel="0" collapsed="false">
      <c r="A228" s="22" t="n">
        <f aca="false">IF(A227="","",IF(A227+1&lt;=$B$9,A227+1,""))</f>
        <v>212</v>
      </c>
      <c r="B228" s="23" t="n">
        <f aca="false">IF(A228="","",F227)</f>
        <v>601714.39929671</v>
      </c>
      <c r="C228" s="23" t="n">
        <f aca="false">IF(A228="","",$B$10)</f>
        <v>23303.279695838</v>
      </c>
      <c r="D228" s="23" t="n">
        <f aca="false">IF(A228="","",B228*$B$8)</f>
        <v>4763.57232776562</v>
      </c>
      <c r="E228" s="23" t="n">
        <f aca="false">IF(A228="","",C228-D228)</f>
        <v>18539.7073680723</v>
      </c>
      <c r="F228" s="23" t="n">
        <f aca="false">IF(A228="","",B228-E228)</f>
        <v>583174.691928637</v>
      </c>
    </row>
    <row r="229" customFormat="false" ht="15" hidden="false" customHeight="false" outlineLevel="0" collapsed="false">
      <c r="A229" s="22" t="n">
        <f aca="false">IF(A228="","",IF(A228+1&lt;=$B$9,A228+1,""))</f>
        <v>213</v>
      </c>
      <c r="B229" s="23" t="n">
        <f aca="false">IF(A229="","",F228)</f>
        <v>583174.691928637</v>
      </c>
      <c r="C229" s="23" t="n">
        <f aca="false">IF(A229="","",$B$10)</f>
        <v>23303.279695838</v>
      </c>
      <c r="D229" s="23" t="n">
        <f aca="false">IF(A229="","",B229*$B$8)</f>
        <v>4616.79964443504</v>
      </c>
      <c r="E229" s="23" t="n">
        <f aca="false">IF(A229="","",C229-D229)</f>
        <v>18686.4800514029</v>
      </c>
      <c r="F229" s="23" t="n">
        <f aca="false">IF(A229="","",B229-E229)</f>
        <v>564488.211877234</v>
      </c>
    </row>
    <row r="230" customFormat="false" ht="15" hidden="false" customHeight="false" outlineLevel="0" collapsed="false">
      <c r="A230" s="22" t="n">
        <f aca="false">IF(A229="","",IF(A229+1&lt;=$B$9,A229+1,""))</f>
        <v>214</v>
      </c>
      <c r="B230" s="23" t="n">
        <f aca="false">IF(A230="","",F229)</f>
        <v>564488.211877234</v>
      </c>
      <c r="C230" s="23" t="n">
        <f aca="false">IF(A230="","",$B$10)</f>
        <v>23303.279695838</v>
      </c>
      <c r="D230" s="23" t="n">
        <f aca="false">IF(A230="","",B230*$B$8)</f>
        <v>4468.86501069477</v>
      </c>
      <c r="E230" s="23" t="n">
        <f aca="false">IF(A230="","",C230-D230)</f>
        <v>18834.4146851432</v>
      </c>
      <c r="F230" s="23" t="n">
        <f aca="false">IF(A230="","",B230-E230)</f>
        <v>545653.797192091</v>
      </c>
    </row>
    <row r="231" customFormat="false" ht="15" hidden="false" customHeight="false" outlineLevel="0" collapsed="false">
      <c r="A231" s="22" t="n">
        <f aca="false">IF(A230="","",IF(A230+1&lt;=$B$9,A230+1,""))</f>
        <v>215</v>
      </c>
      <c r="B231" s="23" t="n">
        <f aca="false">IF(A231="","",F230)</f>
        <v>545653.797192091</v>
      </c>
      <c r="C231" s="23" t="n">
        <f aca="false">IF(A231="","",$B$10)</f>
        <v>23303.279695838</v>
      </c>
      <c r="D231" s="23" t="n">
        <f aca="false">IF(A231="","",B231*$B$8)</f>
        <v>4319.75922777072</v>
      </c>
      <c r="E231" s="23" t="n">
        <f aca="false">IF(A231="","",C231-D231)</f>
        <v>18983.5204680672</v>
      </c>
      <c r="F231" s="23" t="n">
        <f aca="false">IF(A231="","",B231-E231)</f>
        <v>526670.276724024</v>
      </c>
    </row>
    <row r="232" customFormat="false" ht="15" hidden="false" customHeight="false" outlineLevel="0" collapsed="false">
      <c r="A232" s="22" t="n">
        <f aca="false">IF(A231="","",IF(A231+1&lt;=$B$9,A231+1,""))</f>
        <v>216</v>
      </c>
      <c r="B232" s="23" t="n">
        <f aca="false">IF(A232="","",F231)</f>
        <v>526670.276724024</v>
      </c>
      <c r="C232" s="23" t="n">
        <f aca="false">IF(A232="","",$B$10)</f>
        <v>23303.279695838</v>
      </c>
      <c r="D232" s="23" t="n">
        <f aca="false">IF(A232="","",B232*$B$8)</f>
        <v>4169.47302406519</v>
      </c>
      <c r="E232" s="23" t="n">
        <f aca="false">IF(A232="","",C232-D232)</f>
        <v>19133.8066717728</v>
      </c>
      <c r="F232" s="23" t="n">
        <f aca="false">IF(A232="","",B232-E232)</f>
        <v>507536.470052251</v>
      </c>
    </row>
    <row r="233" customFormat="false" ht="15" hidden="false" customHeight="false" outlineLevel="0" collapsed="false">
      <c r="A233" s="22" t="n">
        <f aca="false">IF(A232="","",IF(A232+1&lt;=$B$9,A232+1,""))</f>
        <v>217</v>
      </c>
      <c r="B233" s="23" t="n">
        <f aca="false">IF(A233="","",F232)</f>
        <v>507536.470052251</v>
      </c>
      <c r="C233" s="23" t="n">
        <f aca="false">IF(A233="","",$B$10)</f>
        <v>23303.279695838</v>
      </c>
      <c r="D233" s="23" t="n">
        <f aca="false">IF(A233="","",B233*$B$8)</f>
        <v>4017.99705458032</v>
      </c>
      <c r="E233" s="23" t="n">
        <f aca="false">IF(A233="","",C233-D233)</f>
        <v>19285.2826412576</v>
      </c>
      <c r="F233" s="23" t="n">
        <f aca="false">IF(A233="","",B233-E233)</f>
        <v>488251.187410993</v>
      </c>
    </row>
    <row r="234" customFormat="false" ht="15" hidden="false" customHeight="false" outlineLevel="0" collapsed="false">
      <c r="A234" s="22" t="n">
        <f aca="false">IF(A233="","",IF(A233+1&lt;=$B$9,A233+1,""))</f>
        <v>218</v>
      </c>
      <c r="B234" s="23" t="n">
        <f aca="false">IF(A234="","",F233)</f>
        <v>488251.187410993</v>
      </c>
      <c r="C234" s="23" t="n">
        <f aca="false">IF(A234="","",$B$10)</f>
        <v>23303.279695838</v>
      </c>
      <c r="D234" s="23" t="n">
        <f aca="false">IF(A234="","",B234*$B$8)</f>
        <v>3865.32190033703</v>
      </c>
      <c r="E234" s="23" t="n">
        <f aca="false">IF(A234="","",C234-D234)</f>
        <v>19437.9577955009</v>
      </c>
      <c r="F234" s="23" t="n">
        <f aca="false">IF(A234="","",B234-E234)</f>
        <v>468813.229615492</v>
      </c>
    </row>
    <row r="235" customFormat="false" ht="15" hidden="false" customHeight="false" outlineLevel="0" collapsed="false">
      <c r="A235" s="22" t="n">
        <f aca="false">IF(A234="","",IF(A234+1&lt;=$B$9,A234+1,""))</f>
        <v>219</v>
      </c>
      <c r="B235" s="23" t="n">
        <f aca="false">IF(A235="","",F234)</f>
        <v>468813.229615492</v>
      </c>
      <c r="C235" s="23" t="n">
        <f aca="false">IF(A235="","",$B$10)</f>
        <v>23303.279695838</v>
      </c>
      <c r="D235" s="23" t="n">
        <f aca="false">IF(A235="","",B235*$B$8)</f>
        <v>3711.43806778932</v>
      </c>
      <c r="E235" s="23" t="n">
        <f aca="false">IF(A235="","",C235-D235)</f>
        <v>19591.8416280486</v>
      </c>
      <c r="F235" s="23" t="n">
        <f aca="false">IF(A235="","",B235-E235)</f>
        <v>449221.387987444</v>
      </c>
    </row>
    <row r="236" customFormat="false" ht="15" hidden="false" customHeight="false" outlineLevel="0" collapsed="false">
      <c r="A236" s="22" t="n">
        <f aca="false">IF(A235="","",IF(A235+1&lt;=$B$9,A235+1,""))</f>
        <v>220</v>
      </c>
      <c r="B236" s="23" t="n">
        <f aca="false">IF(A236="","",F235)</f>
        <v>449221.387987444</v>
      </c>
      <c r="C236" s="23" t="n">
        <f aca="false">IF(A236="","",$B$10)</f>
        <v>23303.279695838</v>
      </c>
      <c r="D236" s="23" t="n">
        <f aca="false">IF(A236="","",B236*$B$8)</f>
        <v>3556.33598823393</v>
      </c>
      <c r="E236" s="23" t="n">
        <f aca="false">IF(A236="","",C236-D236)</f>
        <v>19746.943707604</v>
      </c>
      <c r="F236" s="23" t="n">
        <f aca="false">IF(A236="","",B236-E236)</f>
        <v>429474.44427984</v>
      </c>
    </row>
    <row r="237" customFormat="false" ht="15" hidden="false" customHeight="false" outlineLevel="0" collapsed="false">
      <c r="A237" s="22" t="n">
        <f aca="false">IF(A236="","",IF(A236+1&lt;=$B$9,A236+1,""))</f>
        <v>221</v>
      </c>
      <c r="B237" s="23" t="n">
        <f aca="false">IF(A237="","",F236)</f>
        <v>429474.44427984</v>
      </c>
      <c r="C237" s="23" t="n">
        <f aca="false">IF(A237="","",$B$10)</f>
        <v>23303.279695838</v>
      </c>
      <c r="D237" s="23" t="n">
        <f aca="false">IF(A237="","",B237*$B$8)</f>
        <v>3400.0060172154</v>
      </c>
      <c r="E237" s="23" t="n">
        <f aca="false">IF(A237="","",C237-D237)</f>
        <v>19903.2736786226</v>
      </c>
      <c r="F237" s="23" t="n">
        <f aca="false">IF(A237="","",B237-E237)</f>
        <v>409571.170601217</v>
      </c>
    </row>
    <row r="238" customFormat="false" ht="15" hidden="false" customHeight="false" outlineLevel="0" collapsed="false">
      <c r="A238" s="22" t="n">
        <f aca="false">IF(A237="","",IF(A237+1&lt;=$B$9,A237+1,""))</f>
        <v>222</v>
      </c>
      <c r="B238" s="23" t="n">
        <f aca="false">IF(A238="","",F237)</f>
        <v>409571.170601217</v>
      </c>
      <c r="C238" s="23" t="n">
        <f aca="false">IF(A238="","",$B$10)</f>
        <v>23303.279695838</v>
      </c>
      <c r="D238" s="23" t="n">
        <f aca="false">IF(A238="","",B238*$B$8)</f>
        <v>3242.4384339263</v>
      </c>
      <c r="E238" s="23" t="n">
        <f aca="false">IF(A238="","",C238-D238)</f>
        <v>20060.8412619117</v>
      </c>
      <c r="F238" s="23" t="n">
        <f aca="false">IF(A238="","",B238-E238)</f>
        <v>389510.329339306</v>
      </c>
    </row>
    <row r="239" customFormat="false" ht="15" hidden="false" customHeight="false" outlineLevel="0" collapsed="false">
      <c r="A239" s="22" t="n">
        <f aca="false">IF(A238="","",IF(A238+1&lt;=$B$9,A238+1,""))</f>
        <v>223</v>
      </c>
      <c r="B239" s="23" t="n">
        <f aca="false">IF(A239="","",F238)</f>
        <v>389510.329339306</v>
      </c>
      <c r="C239" s="23" t="n">
        <f aca="false">IF(A239="","",$B$10)</f>
        <v>23303.279695838</v>
      </c>
      <c r="D239" s="23" t="n">
        <f aca="false">IF(A239="","",B239*$B$8)</f>
        <v>3083.62344060284</v>
      </c>
      <c r="E239" s="23" t="n">
        <f aca="false">IF(A239="","",C239-D239)</f>
        <v>20219.6562552351</v>
      </c>
      <c r="F239" s="23" t="n">
        <f aca="false">IF(A239="","",B239-E239)</f>
        <v>369290.67308407</v>
      </c>
    </row>
    <row r="240" customFormat="false" ht="15" hidden="false" customHeight="false" outlineLevel="0" collapsed="false">
      <c r="A240" s="22" t="n">
        <f aca="false">IF(A239="","",IF(A239+1&lt;=$B$9,A239+1,""))</f>
        <v>224</v>
      </c>
      <c r="B240" s="23" t="n">
        <f aca="false">IF(A240="","",F239)</f>
        <v>369290.67308407</v>
      </c>
      <c r="C240" s="23" t="n">
        <f aca="false">IF(A240="","",$B$10)</f>
        <v>23303.279695838</v>
      </c>
      <c r="D240" s="23" t="n">
        <f aca="false">IF(A240="","",B240*$B$8)</f>
        <v>2923.55116191556</v>
      </c>
      <c r="E240" s="23" t="n">
        <f aca="false">IF(A240="","",C240-D240)</f>
        <v>20379.7285339224</v>
      </c>
      <c r="F240" s="23" t="n">
        <f aca="false">IF(A240="","",B240-E240)</f>
        <v>348910.944550148</v>
      </c>
    </row>
    <row r="241" customFormat="false" ht="15" hidden="false" customHeight="false" outlineLevel="0" collapsed="false">
      <c r="A241" s="22" t="n">
        <f aca="false">IF(A240="","",IF(A240+1&lt;=$B$9,A240+1,""))</f>
        <v>225</v>
      </c>
      <c r="B241" s="23" t="n">
        <f aca="false">IF(A241="","",F240)</f>
        <v>348910.944550148</v>
      </c>
      <c r="C241" s="23" t="n">
        <f aca="false">IF(A241="","",$B$10)</f>
        <v>23303.279695838</v>
      </c>
      <c r="D241" s="23" t="n">
        <f aca="false">IF(A241="","",B241*$B$8)</f>
        <v>2762.21164435534</v>
      </c>
      <c r="E241" s="23" t="n">
        <f aca="false">IF(A241="","",C241-D241)</f>
        <v>20541.0680514826</v>
      </c>
      <c r="F241" s="23" t="n">
        <f aca="false">IF(A241="","",B241-E241)</f>
        <v>328369.876498665</v>
      </c>
    </row>
    <row r="242" customFormat="false" ht="15" hidden="false" customHeight="false" outlineLevel="0" collapsed="false">
      <c r="A242" s="22" t="n">
        <f aca="false">IF(A241="","",IF(A241+1&lt;=$B$9,A241+1,""))</f>
        <v>226</v>
      </c>
      <c r="B242" s="23" t="n">
        <f aca="false">IF(A242="","",F241)</f>
        <v>328369.876498665</v>
      </c>
      <c r="C242" s="23" t="n">
        <f aca="false">IF(A242="","",$B$10)</f>
        <v>23303.279695838</v>
      </c>
      <c r="D242" s="23" t="n">
        <f aca="false">IF(A242="","",B242*$B$8)</f>
        <v>2599.59485561444</v>
      </c>
      <c r="E242" s="23" t="n">
        <f aca="false">IF(A242="","",C242-D242)</f>
        <v>20703.6848402235</v>
      </c>
      <c r="F242" s="23" t="n">
        <f aca="false">IF(A242="","",B242-E242)</f>
        <v>307666.191658442</v>
      </c>
    </row>
    <row r="243" customFormat="false" ht="15" hidden="false" customHeight="false" outlineLevel="0" collapsed="false">
      <c r="A243" s="22" t="n">
        <f aca="false">IF(A242="","",IF(A242+1&lt;=$B$9,A242+1,""))</f>
        <v>227</v>
      </c>
      <c r="B243" s="23" t="n">
        <f aca="false">IF(A243="","",F242)</f>
        <v>307666.191658442</v>
      </c>
      <c r="C243" s="23" t="n">
        <f aca="false">IF(A243="","",$B$10)</f>
        <v>23303.279695838</v>
      </c>
      <c r="D243" s="23" t="n">
        <f aca="false">IF(A243="","",B243*$B$8)</f>
        <v>2435.69068396267</v>
      </c>
      <c r="E243" s="23" t="n">
        <f aca="false">IF(A243="","",C243-D243)</f>
        <v>20867.5890118753</v>
      </c>
      <c r="F243" s="23" t="n">
        <f aca="false">IF(A243="","",B243-E243)</f>
        <v>286798.602646567</v>
      </c>
    </row>
    <row r="244" customFormat="false" ht="15" hidden="false" customHeight="false" outlineLevel="0" collapsed="false">
      <c r="A244" s="22" t="n">
        <f aca="false">IF(A243="","",IF(A243+1&lt;=$B$9,A243+1,""))</f>
        <v>228</v>
      </c>
      <c r="B244" s="23" t="n">
        <f aca="false">IF(A244="","",F243)</f>
        <v>286798.602646567</v>
      </c>
      <c r="C244" s="23" t="n">
        <f aca="false">IF(A244="","",$B$10)</f>
        <v>23303.279695838</v>
      </c>
      <c r="D244" s="23" t="n">
        <f aca="false">IF(A244="","",B244*$B$8)</f>
        <v>2270.48893761865</v>
      </c>
      <c r="E244" s="23" t="n">
        <f aca="false">IF(A244="","",C244-D244)</f>
        <v>21032.7907582193</v>
      </c>
      <c r="F244" s="23" t="n">
        <f aca="false">IF(A244="","",B244-E244)</f>
        <v>265765.811888347</v>
      </c>
    </row>
    <row r="245" customFormat="false" ht="15" hidden="false" customHeight="false" outlineLevel="0" collapsed="false">
      <c r="A245" s="22" t="n">
        <f aca="false">IF(A244="","",IF(A244+1&lt;=$B$9,A244+1,""))</f>
        <v>229</v>
      </c>
      <c r="B245" s="23" t="n">
        <f aca="false">IF(A245="","",F244)</f>
        <v>265765.811888347</v>
      </c>
      <c r="C245" s="23" t="n">
        <f aca="false">IF(A245="","",$B$10)</f>
        <v>23303.279695838</v>
      </c>
      <c r="D245" s="23" t="n">
        <f aca="false">IF(A245="","",B245*$B$8)</f>
        <v>2103.97934411608</v>
      </c>
      <c r="E245" s="23" t="n">
        <f aca="false">IF(A245="","",C245-D245)</f>
        <v>21199.3003517219</v>
      </c>
      <c r="F245" s="23" t="n">
        <f aca="false">IF(A245="","",B245-E245)</f>
        <v>244566.511536625</v>
      </c>
    </row>
    <row r="246" customFormat="false" ht="15" hidden="false" customHeight="false" outlineLevel="0" collapsed="false">
      <c r="A246" s="22" t="n">
        <f aca="false">IF(A245="","",IF(A245+1&lt;=$B$9,A245+1,""))</f>
        <v>230</v>
      </c>
      <c r="B246" s="23" t="n">
        <f aca="false">IF(A246="","",F245)</f>
        <v>244566.511536625</v>
      </c>
      <c r="C246" s="23" t="n">
        <f aca="false">IF(A246="","",$B$10)</f>
        <v>23303.279695838</v>
      </c>
      <c r="D246" s="23" t="n">
        <f aca="false">IF(A246="","",B246*$B$8)</f>
        <v>1936.15154966495</v>
      </c>
      <c r="E246" s="23" t="n">
        <f aca="false">IF(A246="","",C246-D246)</f>
        <v>21367.128146173</v>
      </c>
      <c r="F246" s="23" t="n">
        <f aca="false">IF(A246="","",B246-E246)</f>
        <v>223199.383390452</v>
      </c>
    </row>
    <row r="247" customFormat="false" ht="15" hidden="false" customHeight="false" outlineLevel="0" collapsed="false">
      <c r="A247" s="22" t="n">
        <f aca="false">IF(A246="","",IF(A246+1&lt;=$B$9,A246+1,""))</f>
        <v>231</v>
      </c>
      <c r="B247" s="23" t="n">
        <f aca="false">IF(A247="","",F246)</f>
        <v>223199.383390452</v>
      </c>
      <c r="C247" s="23" t="n">
        <f aca="false">IF(A247="","",$B$10)</f>
        <v>23303.279695838</v>
      </c>
      <c r="D247" s="23" t="n">
        <f aca="false">IF(A247="","",B247*$B$8)</f>
        <v>1766.99511850775</v>
      </c>
      <c r="E247" s="23" t="n">
        <f aca="false">IF(A247="","",C247-D247)</f>
        <v>21536.2845773302</v>
      </c>
      <c r="F247" s="23" t="n">
        <f aca="false">IF(A247="","",B247-E247)</f>
        <v>201663.098813122</v>
      </c>
    </row>
    <row r="248" customFormat="false" ht="15" hidden="false" customHeight="false" outlineLevel="0" collapsed="false">
      <c r="A248" s="22" t="n">
        <f aca="false">IF(A247="","",IF(A247+1&lt;=$B$9,A247+1,""))</f>
        <v>232</v>
      </c>
      <c r="B248" s="23" t="n">
        <f aca="false">IF(A248="","",F247)</f>
        <v>201663.098813122</v>
      </c>
      <c r="C248" s="23" t="n">
        <f aca="false">IF(A248="","",$B$10)</f>
        <v>23303.279695838</v>
      </c>
      <c r="D248" s="23" t="n">
        <f aca="false">IF(A248="","",B248*$B$8)</f>
        <v>1596.49953227055</v>
      </c>
      <c r="E248" s="23" t="n">
        <f aca="false">IF(A248="","",C248-D248)</f>
        <v>21706.7801635674</v>
      </c>
      <c r="F248" s="23" t="n">
        <f aca="false">IF(A248="","",B248-E248)</f>
        <v>179956.318649555</v>
      </c>
    </row>
    <row r="249" customFormat="false" ht="15" hidden="false" customHeight="false" outlineLevel="0" collapsed="false">
      <c r="A249" s="22" t="n">
        <f aca="false">IF(A248="","",IF(A248+1&lt;=$B$9,A248+1,""))</f>
        <v>233</v>
      </c>
      <c r="B249" s="23" t="n">
        <f aca="false">IF(A249="","",F248)</f>
        <v>179956.318649555</v>
      </c>
      <c r="C249" s="23" t="n">
        <f aca="false">IF(A249="","",$B$10)</f>
        <v>23303.279695838</v>
      </c>
      <c r="D249" s="23" t="n">
        <f aca="false">IF(A249="","",B249*$B$8)</f>
        <v>1424.65418930898</v>
      </c>
      <c r="E249" s="23" t="n">
        <f aca="false">IF(A249="","",C249-D249)</f>
        <v>21878.625506529</v>
      </c>
      <c r="F249" s="23" t="n">
        <f aca="false">IF(A249="","",B249-E249)</f>
        <v>158077.693143026</v>
      </c>
    </row>
    <row r="250" customFormat="false" ht="15" hidden="false" customHeight="false" outlineLevel="0" collapsed="false">
      <c r="A250" s="22" t="n">
        <f aca="false">IF(A249="","",IF(A249+1&lt;=$B$9,A249+1,""))</f>
        <v>234</v>
      </c>
      <c r="B250" s="23" t="n">
        <f aca="false">IF(A250="","",F249)</f>
        <v>158077.693143026</v>
      </c>
      <c r="C250" s="23" t="n">
        <f aca="false">IF(A250="","",$B$10)</f>
        <v>23303.279695838</v>
      </c>
      <c r="D250" s="23" t="n">
        <f aca="false">IF(A250="","",B250*$B$8)</f>
        <v>1251.44840404896</v>
      </c>
      <c r="E250" s="23" t="n">
        <f aca="false">IF(A250="","",C250-D250)</f>
        <v>22051.831291789</v>
      </c>
      <c r="F250" s="23" t="n">
        <f aca="false">IF(A250="","",B250-E250)</f>
        <v>136025.861851237</v>
      </c>
    </row>
    <row r="251" customFormat="false" ht="15" hidden="false" customHeight="false" outlineLevel="0" collapsed="false">
      <c r="A251" s="22" t="n">
        <f aca="false">IF(A250="","",IF(A250+1&lt;=$B$9,A250+1,""))</f>
        <v>235</v>
      </c>
      <c r="B251" s="23" t="n">
        <f aca="false">IF(A251="","",F250)</f>
        <v>136025.861851237</v>
      </c>
      <c r="C251" s="23" t="n">
        <f aca="false">IF(A251="","",$B$10)</f>
        <v>23303.279695838</v>
      </c>
      <c r="D251" s="23" t="n">
        <f aca="false">IF(A251="","",B251*$B$8)</f>
        <v>1076.87140632229</v>
      </c>
      <c r="E251" s="23" t="n">
        <f aca="false">IF(A251="","",C251-D251)</f>
        <v>22226.4082895157</v>
      </c>
      <c r="F251" s="23" t="n">
        <f aca="false">IF(A251="","",B251-E251)</f>
        <v>113799.453561721</v>
      </c>
    </row>
    <row r="252" customFormat="false" ht="15" hidden="false" customHeight="false" outlineLevel="0" collapsed="false">
      <c r="A252" s="22" t="n">
        <f aca="false">IF(A251="","",IF(A251+1&lt;=$B$9,A251+1,""))</f>
        <v>236</v>
      </c>
      <c r="B252" s="23" t="n">
        <f aca="false">IF(A252="","",F251)</f>
        <v>113799.453561721</v>
      </c>
      <c r="C252" s="23" t="n">
        <f aca="false">IF(A252="","",$B$10)</f>
        <v>23303.279695838</v>
      </c>
      <c r="D252" s="23" t="n">
        <f aca="false">IF(A252="","",B252*$B$8)</f>
        <v>900.91234069696</v>
      </c>
      <c r="E252" s="23" t="n">
        <f aca="false">IF(A252="","",C252-D252)</f>
        <v>22402.367355141</v>
      </c>
      <c r="F252" s="23" t="n">
        <f aca="false">IF(A252="","",B252-E252)</f>
        <v>91397.0862065803</v>
      </c>
    </row>
    <row r="253" customFormat="false" ht="15" hidden="false" customHeight="false" outlineLevel="0" collapsed="false">
      <c r="A253" s="22" t="n">
        <f aca="false">IF(A252="","",IF(A252+1&lt;=$B$9,A252+1,""))</f>
        <v>237</v>
      </c>
      <c r="B253" s="23" t="n">
        <f aca="false">IF(A253="","",F252)</f>
        <v>91397.0862065803</v>
      </c>
      <c r="C253" s="23" t="n">
        <f aca="false">IF(A253="","",$B$10)</f>
        <v>23303.279695838</v>
      </c>
      <c r="D253" s="23" t="n">
        <f aca="false">IF(A253="","",B253*$B$8)</f>
        <v>723.560265802094</v>
      </c>
      <c r="E253" s="23" t="n">
        <f aca="false">IF(A253="","",C253-D253)</f>
        <v>22579.7194300359</v>
      </c>
      <c r="F253" s="23" t="n">
        <f aca="false">IF(A253="","",B253-E253)</f>
        <v>68817.3667765444</v>
      </c>
    </row>
    <row r="254" customFormat="false" ht="15" hidden="false" customHeight="false" outlineLevel="0" collapsed="false">
      <c r="A254" s="22" t="n">
        <f aca="false">IF(A253="","",IF(A253+1&lt;=$B$9,A253+1,""))</f>
        <v>238</v>
      </c>
      <c r="B254" s="23" t="n">
        <f aca="false">IF(A254="","",F253)</f>
        <v>68817.3667765444</v>
      </c>
      <c r="C254" s="23" t="n">
        <f aca="false">IF(A254="","",$B$10)</f>
        <v>23303.279695838</v>
      </c>
      <c r="D254" s="23" t="n">
        <f aca="false">IF(A254="","",B254*$B$8)</f>
        <v>544.804153647643</v>
      </c>
      <c r="E254" s="23" t="n">
        <f aca="false">IF(A254="","",C254-D254)</f>
        <v>22758.4755421903</v>
      </c>
      <c r="F254" s="23" t="n">
        <f aca="false">IF(A254="","",B254-E254)</f>
        <v>46058.8912343541</v>
      </c>
    </row>
    <row r="255" customFormat="false" ht="15" hidden="false" customHeight="false" outlineLevel="0" collapsed="false">
      <c r="A255" s="22" t="n">
        <f aca="false">IF(A254="","",IF(A254+1&lt;=$B$9,A254+1,""))</f>
        <v>239</v>
      </c>
      <c r="B255" s="23" t="n">
        <f aca="false">IF(A255="","",F254)</f>
        <v>46058.8912343541</v>
      </c>
      <c r="C255" s="23" t="n">
        <f aca="false">IF(A255="","",$B$10)</f>
        <v>23303.279695838</v>
      </c>
      <c r="D255" s="23" t="n">
        <f aca="false">IF(A255="","",B255*$B$8)</f>
        <v>364.632888938637</v>
      </c>
      <c r="E255" s="23" t="n">
        <f aca="false">IF(A255="","",C255-D255)</f>
        <v>22938.6468068993</v>
      </c>
      <c r="F255" s="23" t="n">
        <f aca="false">IF(A255="","",B255-E255)</f>
        <v>23120.2444274548</v>
      </c>
    </row>
    <row r="256" customFormat="false" ht="15" hidden="false" customHeight="false" outlineLevel="0" collapsed="false">
      <c r="A256" s="22" t="n">
        <f aca="false">IF(A255="","",IF(A255+1&lt;=$B$9,A255+1,""))</f>
        <v>240</v>
      </c>
      <c r="B256" s="23" t="n">
        <f aca="false">IF(A256="","",F255)</f>
        <v>23120.2444274548</v>
      </c>
      <c r="C256" s="23" t="n">
        <f aca="false">IF(A256="","",$B$10)</f>
        <v>23303.279695838</v>
      </c>
      <c r="D256" s="23" t="n">
        <f aca="false">IF(A256="","",B256*$B$8)</f>
        <v>183.035268384017</v>
      </c>
      <c r="E256" s="23" t="n">
        <f aca="false">IF(A256="","",C256-D256)</f>
        <v>23120.2444274539</v>
      </c>
      <c r="F256" s="23" t="n">
        <f aca="false">IF(A256="","",B256-E256)</f>
        <v>8.36735125631094E-010</v>
      </c>
    </row>
    <row r="257" customFormat="false" ht="15" hidden="false" customHeight="false" outlineLevel="0" collapsed="false">
      <c r="A257" s="22" t="str">
        <f aca="false">IF(A256="","",IF(A256+1&lt;=$B$9,A256+1,""))</f>
        <v/>
      </c>
      <c r="B257" s="23" t="str">
        <f aca="false">IF(A257="","",F256)</f>
        <v/>
      </c>
      <c r="C257" s="23" t="str">
        <f aca="false">IF(A257="","",$B$10)</f>
        <v/>
      </c>
      <c r="D257" s="23" t="str">
        <f aca="false">IF(A257="","",B257*$B$8)</f>
        <v/>
      </c>
      <c r="E257" s="23" t="str">
        <f aca="false">IF(A257="","",C257-D257)</f>
        <v/>
      </c>
      <c r="F257" s="23" t="str">
        <f aca="false">IF(A257="","",B257-E257)</f>
        <v/>
      </c>
    </row>
    <row r="258" customFormat="false" ht="15" hidden="false" customHeight="false" outlineLevel="0" collapsed="false">
      <c r="A258" s="22" t="str">
        <f aca="false">IF(A257="","",IF(A257+1&lt;=$B$9,A257+1,""))</f>
        <v/>
      </c>
      <c r="B258" s="23" t="str">
        <f aca="false">IF(A258="","",F257)</f>
        <v/>
      </c>
      <c r="C258" s="23" t="str">
        <f aca="false">IF(A258="","",$B$10)</f>
        <v/>
      </c>
      <c r="D258" s="23" t="str">
        <f aca="false">IF(A258="","",B258*$B$8)</f>
        <v/>
      </c>
      <c r="E258" s="23" t="str">
        <f aca="false">IF(A258="","",C258-D258)</f>
        <v/>
      </c>
      <c r="F258" s="23" t="str">
        <f aca="false">IF(A258="","",B258-E258)</f>
        <v/>
      </c>
    </row>
    <row r="259" customFormat="false" ht="15" hidden="false" customHeight="false" outlineLevel="0" collapsed="false">
      <c r="A259" s="22" t="str">
        <f aca="false">IF(A258="","",IF(A258+1&lt;=$B$9,A258+1,""))</f>
        <v/>
      </c>
      <c r="B259" s="23" t="str">
        <f aca="false">IF(A259="","",F258)</f>
        <v/>
      </c>
      <c r="C259" s="23" t="str">
        <f aca="false">IF(A259="","",$B$10)</f>
        <v/>
      </c>
      <c r="D259" s="23" t="str">
        <f aca="false">IF(A259="","",B259*$B$8)</f>
        <v/>
      </c>
      <c r="E259" s="23" t="str">
        <f aca="false">IF(A259="","",C259-D259)</f>
        <v/>
      </c>
      <c r="F259" s="23" t="str">
        <f aca="false">IF(A259="","",B259-E259)</f>
        <v/>
      </c>
    </row>
    <row r="260" customFormat="false" ht="15" hidden="false" customHeight="false" outlineLevel="0" collapsed="false">
      <c r="A260" s="22" t="str">
        <f aca="false">IF(A259="","",IF(A259+1&lt;=$B$9,A259+1,""))</f>
        <v/>
      </c>
      <c r="B260" s="23" t="str">
        <f aca="false">IF(A260="","",F259)</f>
        <v/>
      </c>
      <c r="C260" s="23" t="str">
        <f aca="false">IF(A260="","",$B$10)</f>
        <v/>
      </c>
      <c r="D260" s="23" t="str">
        <f aca="false">IF(A260="","",B260*$B$8)</f>
        <v/>
      </c>
      <c r="E260" s="23" t="str">
        <f aca="false">IF(A260="","",C260-D260)</f>
        <v/>
      </c>
      <c r="F260" s="23" t="str">
        <f aca="false">IF(A260="","",B260-E260)</f>
        <v/>
      </c>
    </row>
    <row r="261" customFormat="false" ht="15" hidden="false" customHeight="false" outlineLevel="0" collapsed="false">
      <c r="A261" s="22" t="str">
        <f aca="false">IF(A260="","",IF(A260+1&lt;=$B$9,A260+1,""))</f>
        <v/>
      </c>
      <c r="B261" s="23" t="str">
        <f aca="false">IF(A261="","",F260)</f>
        <v/>
      </c>
      <c r="C261" s="23" t="str">
        <f aca="false">IF(A261="","",$B$10)</f>
        <v/>
      </c>
      <c r="D261" s="23" t="str">
        <f aca="false">IF(A261="","",B261*$B$8)</f>
        <v/>
      </c>
      <c r="E261" s="23" t="str">
        <f aca="false">IF(A261="","",C261-D261)</f>
        <v/>
      </c>
      <c r="F261" s="23" t="str">
        <f aca="false">IF(A261="","",B261-E261)</f>
        <v/>
      </c>
    </row>
    <row r="262" customFormat="false" ht="15" hidden="false" customHeight="false" outlineLevel="0" collapsed="false">
      <c r="A262" s="22" t="str">
        <f aca="false">IF(A261="","",IF(A261+1&lt;=$B$9,A261+1,""))</f>
        <v/>
      </c>
      <c r="B262" s="23" t="str">
        <f aca="false">IF(A262="","",F261)</f>
        <v/>
      </c>
      <c r="C262" s="23" t="str">
        <f aca="false">IF(A262="","",$B$10)</f>
        <v/>
      </c>
      <c r="D262" s="23" t="str">
        <f aca="false">IF(A262="","",B262*$B$8)</f>
        <v/>
      </c>
      <c r="E262" s="23" t="str">
        <f aca="false">IF(A262="","",C262-D262)</f>
        <v/>
      </c>
      <c r="F262" s="23" t="str">
        <f aca="false">IF(A262="","",B262-E262)</f>
        <v/>
      </c>
    </row>
    <row r="263" customFormat="false" ht="15" hidden="false" customHeight="false" outlineLevel="0" collapsed="false">
      <c r="A263" s="22" t="str">
        <f aca="false">IF(A262="","",IF(A262+1&lt;=$B$9,A262+1,""))</f>
        <v/>
      </c>
      <c r="B263" s="23" t="str">
        <f aca="false">IF(A263="","",F262)</f>
        <v/>
      </c>
      <c r="C263" s="23" t="str">
        <f aca="false">IF(A263="","",$B$10)</f>
        <v/>
      </c>
      <c r="D263" s="23" t="str">
        <f aca="false">IF(A263="","",B263*$B$8)</f>
        <v/>
      </c>
      <c r="E263" s="23" t="str">
        <f aca="false">IF(A263="","",C263-D263)</f>
        <v/>
      </c>
      <c r="F263" s="23" t="str">
        <f aca="false">IF(A263="","",B263-E263)</f>
        <v/>
      </c>
    </row>
    <row r="264" customFormat="false" ht="15" hidden="false" customHeight="false" outlineLevel="0" collapsed="false">
      <c r="A264" s="22" t="str">
        <f aca="false">IF(A263="","",IF(A263+1&lt;=$B$9,A263+1,""))</f>
        <v/>
      </c>
      <c r="B264" s="23" t="str">
        <f aca="false">IF(A264="","",F263)</f>
        <v/>
      </c>
      <c r="C264" s="23" t="str">
        <f aca="false">IF(A264="","",$B$10)</f>
        <v/>
      </c>
      <c r="D264" s="23" t="str">
        <f aca="false">IF(A264="","",B264*$B$8)</f>
        <v/>
      </c>
      <c r="E264" s="23" t="str">
        <f aca="false">IF(A264="","",C264-D264)</f>
        <v/>
      </c>
      <c r="F264" s="23" t="str">
        <f aca="false">IF(A264="","",B264-E264)</f>
        <v/>
      </c>
    </row>
    <row r="265" customFormat="false" ht="15" hidden="false" customHeight="false" outlineLevel="0" collapsed="false">
      <c r="A265" s="22" t="str">
        <f aca="false">IF(A264="","",IF(A264+1&lt;=$B$9,A264+1,""))</f>
        <v/>
      </c>
      <c r="B265" s="23" t="str">
        <f aca="false">IF(A265="","",F264)</f>
        <v/>
      </c>
      <c r="C265" s="23" t="str">
        <f aca="false">IF(A265="","",$B$10)</f>
        <v/>
      </c>
      <c r="D265" s="23" t="str">
        <f aca="false">IF(A265="","",B265*$B$8)</f>
        <v/>
      </c>
      <c r="E265" s="23" t="str">
        <f aca="false">IF(A265="","",C265-D265)</f>
        <v/>
      </c>
      <c r="F265" s="23" t="str">
        <f aca="false">IF(A265="","",B265-E265)</f>
        <v/>
      </c>
    </row>
    <row r="266" customFormat="false" ht="15" hidden="false" customHeight="false" outlineLevel="0" collapsed="false">
      <c r="A266" s="22" t="str">
        <f aca="false">IF(A265="","",IF(A265+1&lt;=$B$9,A265+1,""))</f>
        <v/>
      </c>
      <c r="B266" s="23" t="str">
        <f aca="false">IF(A266="","",F265)</f>
        <v/>
      </c>
      <c r="C266" s="23" t="str">
        <f aca="false">IF(A266="","",$B$10)</f>
        <v/>
      </c>
      <c r="D266" s="23" t="str">
        <f aca="false">IF(A266="","",B266*$B$8)</f>
        <v/>
      </c>
      <c r="E266" s="23" t="str">
        <f aca="false">IF(A266="","",C266-D266)</f>
        <v/>
      </c>
      <c r="F266" s="23" t="str">
        <f aca="false">IF(A266="","",B266-E266)</f>
        <v/>
      </c>
    </row>
    <row r="267" customFormat="false" ht="15" hidden="false" customHeight="false" outlineLevel="0" collapsed="false">
      <c r="A267" s="22" t="str">
        <f aca="false">IF(A266="","",IF(A266+1&lt;=$B$9,A266+1,""))</f>
        <v/>
      </c>
      <c r="B267" s="23" t="str">
        <f aca="false">IF(A267="","",F266)</f>
        <v/>
      </c>
      <c r="C267" s="23" t="str">
        <f aca="false">IF(A267="","",$B$10)</f>
        <v/>
      </c>
      <c r="D267" s="23" t="str">
        <f aca="false">IF(A267="","",B267*$B$8)</f>
        <v/>
      </c>
      <c r="E267" s="23" t="str">
        <f aca="false">IF(A267="","",C267-D267)</f>
        <v/>
      </c>
      <c r="F267" s="23" t="str">
        <f aca="false">IF(A267="","",B267-E267)</f>
        <v/>
      </c>
    </row>
    <row r="268" customFormat="false" ht="15" hidden="false" customHeight="false" outlineLevel="0" collapsed="false">
      <c r="A268" s="22" t="str">
        <f aca="false">IF(A267="","",IF(A267+1&lt;=$B$9,A267+1,""))</f>
        <v/>
      </c>
      <c r="B268" s="23" t="str">
        <f aca="false">IF(A268="","",F267)</f>
        <v/>
      </c>
      <c r="C268" s="23" t="str">
        <f aca="false">IF(A268="","",$B$10)</f>
        <v/>
      </c>
      <c r="D268" s="23" t="str">
        <f aca="false">IF(A268="","",B268*$B$8)</f>
        <v/>
      </c>
      <c r="E268" s="23" t="str">
        <f aca="false">IF(A268="","",C268-D268)</f>
        <v/>
      </c>
      <c r="F268" s="23" t="str">
        <f aca="false">IF(A268="","",B268-E268)</f>
        <v/>
      </c>
    </row>
    <row r="269" customFormat="false" ht="15" hidden="false" customHeight="false" outlineLevel="0" collapsed="false">
      <c r="A269" s="22" t="str">
        <f aca="false">IF(A268="","",IF(A268+1&lt;=$B$9,A268+1,""))</f>
        <v/>
      </c>
      <c r="B269" s="23" t="str">
        <f aca="false">IF(A269="","",F268)</f>
        <v/>
      </c>
      <c r="C269" s="23" t="str">
        <f aca="false">IF(A269="","",$B$10)</f>
        <v/>
      </c>
      <c r="D269" s="23" t="str">
        <f aca="false">IF(A269="","",B269*$B$8)</f>
        <v/>
      </c>
      <c r="E269" s="23" t="str">
        <f aca="false">IF(A269="","",C269-D269)</f>
        <v/>
      </c>
      <c r="F269" s="23" t="str">
        <f aca="false">IF(A269="","",B269-E269)</f>
        <v/>
      </c>
    </row>
    <row r="270" customFormat="false" ht="15" hidden="false" customHeight="false" outlineLevel="0" collapsed="false">
      <c r="A270" s="22" t="str">
        <f aca="false">IF(A269="","",IF(A269+1&lt;=$B$9,A269+1,""))</f>
        <v/>
      </c>
      <c r="B270" s="23" t="str">
        <f aca="false">IF(A270="","",F269)</f>
        <v/>
      </c>
      <c r="C270" s="23" t="str">
        <f aca="false">IF(A270="","",$B$10)</f>
        <v/>
      </c>
      <c r="D270" s="23" t="str">
        <f aca="false">IF(A270="","",B270*$B$8)</f>
        <v/>
      </c>
      <c r="E270" s="23" t="str">
        <f aca="false">IF(A270="","",C270-D270)</f>
        <v/>
      </c>
      <c r="F270" s="23" t="str">
        <f aca="false">IF(A270="","",B270-E270)</f>
        <v/>
      </c>
    </row>
    <row r="271" customFormat="false" ht="15" hidden="false" customHeight="false" outlineLevel="0" collapsed="false">
      <c r="A271" s="22" t="str">
        <f aca="false">IF(A270="","",IF(A270+1&lt;=$B$9,A270+1,""))</f>
        <v/>
      </c>
      <c r="B271" s="23" t="str">
        <f aca="false">IF(A271="","",F270)</f>
        <v/>
      </c>
      <c r="C271" s="23" t="str">
        <f aca="false">IF(A271="","",$B$10)</f>
        <v/>
      </c>
      <c r="D271" s="23" t="str">
        <f aca="false">IF(A271="","",B271*$B$8)</f>
        <v/>
      </c>
      <c r="E271" s="23" t="str">
        <f aca="false">IF(A271="","",C271-D271)</f>
        <v/>
      </c>
      <c r="F271" s="23" t="str">
        <f aca="false">IF(A271="","",B271-E271)</f>
        <v/>
      </c>
    </row>
    <row r="272" customFormat="false" ht="15" hidden="false" customHeight="false" outlineLevel="0" collapsed="false">
      <c r="A272" s="22" t="str">
        <f aca="false">IF(A271="","",IF(A271+1&lt;=$B$9,A271+1,""))</f>
        <v/>
      </c>
      <c r="B272" s="23" t="str">
        <f aca="false">IF(A272="","",F271)</f>
        <v/>
      </c>
      <c r="C272" s="23" t="str">
        <f aca="false">IF(A272="","",$B$10)</f>
        <v/>
      </c>
      <c r="D272" s="23" t="str">
        <f aca="false">IF(A272="","",B272*$B$8)</f>
        <v/>
      </c>
      <c r="E272" s="23" t="str">
        <f aca="false">IF(A272="","",C272-D272)</f>
        <v/>
      </c>
      <c r="F272" s="23" t="str">
        <f aca="false">IF(A272="","",B272-E272)</f>
        <v/>
      </c>
    </row>
    <row r="273" customFormat="false" ht="15" hidden="false" customHeight="false" outlineLevel="0" collapsed="false">
      <c r="A273" s="22" t="str">
        <f aca="false">IF(A272="","",IF(A272+1&lt;=$B$9,A272+1,""))</f>
        <v/>
      </c>
      <c r="B273" s="23" t="str">
        <f aca="false">IF(A273="","",F272)</f>
        <v/>
      </c>
      <c r="C273" s="23" t="str">
        <f aca="false">IF(A273="","",$B$10)</f>
        <v/>
      </c>
      <c r="D273" s="23" t="str">
        <f aca="false">IF(A273="","",B273*$B$8)</f>
        <v/>
      </c>
      <c r="E273" s="23" t="str">
        <f aca="false">IF(A273="","",C273-D273)</f>
        <v/>
      </c>
      <c r="F273" s="23" t="str">
        <f aca="false">IF(A273="","",B273-E273)</f>
        <v/>
      </c>
    </row>
    <row r="274" customFormat="false" ht="15" hidden="false" customHeight="false" outlineLevel="0" collapsed="false">
      <c r="A274" s="22" t="str">
        <f aca="false">IF(A273="","",IF(A273+1&lt;=$B$9,A273+1,""))</f>
        <v/>
      </c>
      <c r="B274" s="23" t="str">
        <f aca="false">IF(A274="","",F273)</f>
        <v/>
      </c>
      <c r="C274" s="23" t="str">
        <f aca="false">IF(A274="","",$B$10)</f>
        <v/>
      </c>
      <c r="D274" s="23" t="str">
        <f aca="false">IF(A274="","",B274*$B$8)</f>
        <v/>
      </c>
      <c r="E274" s="23" t="str">
        <f aca="false">IF(A274="","",C274-D274)</f>
        <v/>
      </c>
      <c r="F274" s="23" t="str">
        <f aca="false">IF(A274="","",B274-E274)</f>
        <v/>
      </c>
    </row>
    <row r="275" customFormat="false" ht="15" hidden="false" customHeight="false" outlineLevel="0" collapsed="false">
      <c r="A275" s="22" t="str">
        <f aca="false">IF(A274="","",IF(A274+1&lt;=$B$9,A274+1,""))</f>
        <v/>
      </c>
      <c r="B275" s="23" t="str">
        <f aca="false">IF(A275="","",F274)</f>
        <v/>
      </c>
      <c r="C275" s="23" t="str">
        <f aca="false">IF(A275="","",$B$10)</f>
        <v/>
      </c>
      <c r="D275" s="23" t="str">
        <f aca="false">IF(A275="","",B275*$B$8)</f>
        <v/>
      </c>
      <c r="E275" s="23" t="str">
        <f aca="false">IF(A275="","",C275-D275)</f>
        <v/>
      </c>
      <c r="F275" s="23" t="str">
        <f aca="false">IF(A275="","",B275-E275)</f>
        <v/>
      </c>
    </row>
    <row r="276" customFormat="false" ht="15" hidden="false" customHeight="false" outlineLevel="0" collapsed="false">
      <c r="A276" s="22" t="str">
        <f aca="false">IF(A275="","",IF(A275+1&lt;=$B$9,A275+1,""))</f>
        <v/>
      </c>
      <c r="B276" s="23" t="str">
        <f aca="false">IF(A276="","",F275)</f>
        <v/>
      </c>
      <c r="C276" s="23" t="str">
        <f aca="false">IF(A276="","",$B$10)</f>
        <v/>
      </c>
      <c r="D276" s="23" t="str">
        <f aca="false">IF(A276="","",B276*$B$8)</f>
        <v/>
      </c>
      <c r="E276" s="23" t="str">
        <f aca="false">IF(A276="","",C276-D276)</f>
        <v/>
      </c>
      <c r="F276" s="23" t="str">
        <f aca="false">IF(A276="","",B276-E276)</f>
        <v/>
      </c>
    </row>
    <row r="277" customFormat="false" ht="15" hidden="false" customHeight="false" outlineLevel="0" collapsed="false">
      <c r="A277" s="22" t="str">
        <f aca="false">IF(A276="","",IF(A276+1&lt;=$B$9,A276+1,""))</f>
        <v/>
      </c>
      <c r="B277" s="23" t="str">
        <f aca="false">IF(A277="","",F276)</f>
        <v/>
      </c>
      <c r="C277" s="23" t="str">
        <f aca="false">IF(A277="","",$B$10)</f>
        <v/>
      </c>
      <c r="D277" s="23" t="str">
        <f aca="false">IF(A277="","",B277*$B$8)</f>
        <v/>
      </c>
      <c r="E277" s="23" t="str">
        <f aca="false">IF(A277="","",C277-D277)</f>
        <v/>
      </c>
      <c r="F277" s="23" t="str">
        <f aca="false">IF(A277="","",B277-E277)</f>
        <v/>
      </c>
    </row>
    <row r="278" customFormat="false" ht="15" hidden="false" customHeight="false" outlineLevel="0" collapsed="false">
      <c r="A278" s="22" t="str">
        <f aca="false">IF(A277="","",IF(A277+1&lt;=$B$9,A277+1,""))</f>
        <v/>
      </c>
      <c r="B278" s="23" t="str">
        <f aca="false">IF(A278="","",F277)</f>
        <v/>
      </c>
      <c r="C278" s="23" t="str">
        <f aca="false">IF(A278="","",$B$10)</f>
        <v/>
      </c>
      <c r="D278" s="23" t="str">
        <f aca="false">IF(A278="","",B278*$B$8)</f>
        <v/>
      </c>
      <c r="E278" s="23" t="str">
        <f aca="false">IF(A278="","",C278-D278)</f>
        <v/>
      </c>
      <c r="F278" s="23" t="str">
        <f aca="false">IF(A278="","",B278-E278)</f>
        <v/>
      </c>
    </row>
    <row r="279" customFormat="false" ht="15" hidden="false" customHeight="false" outlineLevel="0" collapsed="false">
      <c r="A279" s="22" t="str">
        <f aca="false">IF(A278="","",IF(A278+1&lt;=$B$9,A278+1,""))</f>
        <v/>
      </c>
      <c r="B279" s="23" t="str">
        <f aca="false">IF(A279="","",F278)</f>
        <v/>
      </c>
      <c r="C279" s="23" t="str">
        <f aca="false">IF(A279="","",$B$10)</f>
        <v/>
      </c>
      <c r="D279" s="23" t="str">
        <f aca="false">IF(A279="","",B279*$B$8)</f>
        <v/>
      </c>
      <c r="E279" s="23" t="str">
        <f aca="false">IF(A279="","",C279-D279)</f>
        <v/>
      </c>
      <c r="F279" s="23" t="str">
        <f aca="false">IF(A279="","",B279-E279)</f>
        <v/>
      </c>
    </row>
    <row r="280" customFormat="false" ht="15" hidden="false" customHeight="false" outlineLevel="0" collapsed="false">
      <c r="A280" s="22" t="str">
        <f aca="false">IF(A279="","",IF(A279+1&lt;=$B$9,A279+1,""))</f>
        <v/>
      </c>
      <c r="B280" s="23" t="str">
        <f aca="false">IF(A280="","",F279)</f>
        <v/>
      </c>
      <c r="C280" s="23" t="str">
        <f aca="false">IF(A280="","",$B$10)</f>
        <v/>
      </c>
      <c r="D280" s="23" t="str">
        <f aca="false">IF(A280="","",B280*$B$8)</f>
        <v/>
      </c>
      <c r="E280" s="23" t="str">
        <f aca="false">IF(A280="","",C280-D280)</f>
        <v/>
      </c>
      <c r="F280" s="23" t="str">
        <f aca="false">IF(A280="","",B280-E280)</f>
        <v/>
      </c>
    </row>
    <row r="281" customFormat="false" ht="15" hidden="false" customHeight="false" outlineLevel="0" collapsed="false">
      <c r="A281" s="22" t="str">
        <f aca="false">IF(A280="","",IF(A280+1&lt;=$B$9,A280+1,""))</f>
        <v/>
      </c>
      <c r="B281" s="23" t="str">
        <f aca="false">IF(A281="","",F280)</f>
        <v/>
      </c>
      <c r="C281" s="23" t="str">
        <f aca="false">IF(A281="","",$B$10)</f>
        <v/>
      </c>
      <c r="D281" s="23" t="str">
        <f aca="false">IF(A281="","",B281*$B$8)</f>
        <v/>
      </c>
      <c r="E281" s="23" t="str">
        <f aca="false">IF(A281="","",C281-D281)</f>
        <v/>
      </c>
      <c r="F281" s="23" t="str">
        <f aca="false">IF(A281="","",B281-E281)</f>
        <v/>
      </c>
    </row>
    <row r="282" customFormat="false" ht="15" hidden="false" customHeight="false" outlineLevel="0" collapsed="false">
      <c r="A282" s="22" t="str">
        <f aca="false">IF(A281="","",IF(A281+1&lt;=$B$9,A281+1,""))</f>
        <v/>
      </c>
      <c r="B282" s="23" t="str">
        <f aca="false">IF(A282="","",F281)</f>
        <v/>
      </c>
      <c r="C282" s="23" t="str">
        <f aca="false">IF(A282="","",$B$10)</f>
        <v/>
      </c>
      <c r="D282" s="23" t="str">
        <f aca="false">IF(A282="","",B282*$B$8)</f>
        <v/>
      </c>
      <c r="E282" s="23" t="str">
        <f aca="false">IF(A282="","",C282-D282)</f>
        <v/>
      </c>
      <c r="F282" s="23" t="str">
        <f aca="false">IF(A282="","",B282-E282)</f>
        <v/>
      </c>
    </row>
    <row r="283" customFormat="false" ht="15" hidden="false" customHeight="false" outlineLevel="0" collapsed="false">
      <c r="A283" s="22" t="str">
        <f aca="false">IF(A282="","",IF(A282+1&lt;=$B$9,A282+1,""))</f>
        <v/>
      </c>
      <c r="B283" s="23" t="str">
        <f aca="false">IF(A283="","",F282)</f>
        <v/>
      </c>
      <c r="C283" s="23" t="str">
        <f aca="false">IF(A283="","",$B$10)</f>
        <v/>
      </c>
      <c r="D283" s="23" t="str">
        <f aca="false">IF(A283="","",B283*$B$8)</f>
        <v/>
      </c>
      <c r="E283" s="23" t="str">
        <f aca="false">IF(A283="","",C283-D283)</f>
        <v/>
      </c>
      <c r="F283" s="23" t="str">
        <f aca="false">IF(A283="","",B283-E283)</f>
        <v/>
      </c>
    </row>
    <row r="284" customFormat="false" ht="15" hidden="false" customHeight="false" outlineLevel="0" collapsed="false">
      <c r="A284" s="22" t="str">
        <f aca="false">IF(A283="","",IF(A283+1&lt;=$B$9,A283+1,""))</f>
        <v/>
      </c>
      <c r="B284" s="23" t="str">
        <f aca="false">IF(A284="","",F283)</f>
        <v/>
      </c>
      <c r="C284" s="23" t="str">
        <f aca="false">IF(A284="","",$B$10)</f>
        <v/>
      </c>
      <c r="D284" s="23" t="str">
        <f aca="false">IF(A284="","",B284*$B$8)</f>
        <v/>
      </c>
      <c r="E284" s="23" t="str">
        <f aca="false">IF(A284="","",C284-D284)</f>
        <v/>
      </c>
      <c r="F284" s="23" t="str">
        <f aca="false">IF(A284="","",B284-E284)</f>
        <v/>
      </c>
    </row>
    <row r="285" customFormat="false" ht="15" hidden="false" customHeight="false" outlineLevel="0" collapsed="false">
      <c r="A285" s="22" t="str">
        <f aca="false">IF(A284="","",IF(A284+1&lt;=$B$9,A284+1,""))</f>
        <v/>
      </c>
      <c r="B285" s="23" t="str">
        <f aca="false">IF(A285="","",F284)</f>
        <v/>
      </c>
      <c r="C285" s="23" t="str">
        <f aca="false">IF(A285="","",$B$10)</f>
        <v/>
      </c>
      <c r="D285" s="23" t="str">
        <f aca="false">IF(A285="","",B285*$B$8)</f>
        <v/>
      </c>
      <c r="E285" s="23" t="str">
        <f aca="false">IF(A285="","",C285-D285)</f>
        <v/>
      </c>
      <c r="F285" s="23" t="str">
        <f aca="false">IF(A285="","",B285-E285)</f>
        <v/>
      </c>
    </row>
    <row r="286" customFormat="false" ht="15" hidden="false" customHeight="false" outlineLevel="0" collapsed="false">
      <c r="A286" s="22" t="str">
        <f aca="false">IF(A285="","",IF(A285+1&lt;=$B$9,A285+1,""))</f>
        <v/>
      </c>
      <c r="B286" s="23" t="str">
        <f aca="false">IF(A286="","",F285)</f>
        <v/>
      </c>
      <c r="C286" s="23" t="str">
        <f aca="false">IF(A286="","",$B$10)</f>
        <v/>
      </c>
      <c r="D286" s="23" t="str">
        <f aca="false">IF(A286="","",B286*$B$8)</f>
        <v/>
      </c>
      <c r="E286" s="23" t="str">
        <f aca="false">IF(A286="","",C286-D286)</f>
        <v/>
      </c>
      <c r="F286" s="23" t="str">
        <f aca="false">IF(A286="","",B286-E286)</f>
        <v/>
      </c>
    </row>
    <row r="287" customFormat="false" ht="15" hidden="false" customHeight="false" outlineLevel="0" collapsed="false">
      <c r="A287" s="22" t="str">
        <f aca="false">IF(A286="","",IF(A286+1&lt;=$B$9,A286+1,""))</f>
        <v/>
      </c>
      <c r="B287" s="23" t="str">
        <f aca="false">IF(A287="","",F286)</f>
        <v/>
      </c>
      <c r="C287" s="23" t="str">
        <f aca="false">IF(A287="","",$B$10)</f>
        <v/>
      </c>
      <c r="D287" s="23" t="str">
        <f aca="false">IF(A287="","",B287*$B$8)</f>
        <v/>
      </c>
      <c r="E287" s="23" t="str">
        <f aca="false">IF(A287="","",C287-D287)</f>
        <v/>
      </c>
      <c r="F287" s="23" t="str">
        <f aca="false">IF(A287="","",B287-E287)</f>
        <v/>
      </c>
    </row>
    <row r="288" customFormat="false" ht="15" hidden="false" customHeight="false" outlineLevel="0" collapsed="false">
      <c r="A288" s="22" t="str">
        <f aca="false">IF(A287="","",IF(A287+1&lt;=$B$9,A287+1,""))</f>
        <v/>
      </c>
      <c r="B288" s="23" t="str">
        <f aca="false">IF(A288="","",F287)</f>
        <v/>
      </c>
      <c r="C288" s="23" t="str">
        <f aca="false">IF(A288="","",$B$10)</f>
        <v/>
      </c>
      <c r="D288" s="23" t="str">
        <f aca="false">IF(A288="","",B288*$B$8)</f>
        <v/>
      </c>
      <c r="E288" s="23" t="str">
        <f aca="false">IF(A288="","",C288-D288)</f>
        <v/>
      </c>
      <c r="F288" s="23" t="str">
        <f aca="false">IF(A288="","",B288-E288)</f>
        <v/>
      </c>
    </row>
    <row r="289" customFormat="false" ht="15" hidden="false" customHeight="false" outlineLevel="0" collapsed="false">
      <c r="A289" s="22" t="str">
        <f aca="false">IF(A288="","",IF(A288+1&lt;=$B$9,A288+1,""))</f>
        <v/>
      </c>
      <c r="B289" s="23" t="str">
        <f aca="false">IF(A289="","",F288)</f>
        <v/>
      </c>
      <c r="C289" s="23" t="str">
        <f aca="false">IF(A289="","",$B$10)</f>
        <v/>
      </c>
      <c r="D289" s="23" t="str">
        <f aca="false">IF(A289="","",B289*$B$8)</f>
        <v/>
      </c>
      <c r="E289" s="23" t="str">
        <f aca="false">IF(A289="","",C289-D289)</f>
        <v/>
      </c>
      <c r="F289" s="23" t="str">
        <f aca="false">IF(A289="","",B289-E289)</f>
        <v/>
      </c>
    </row>
    <row r="290" customFormat="false" ht="15" hidden="false" customHeight="false" outlineLevel="0" collapsed="false">
      <c r="A290" s="22" t="str">
        <f aca="false">IF(A289="","",IF(A289+1&lt;=$B$9,A289+1,""))</f>
        <v/>
      </c>
      <c r="B290" s="23" t="str">
        <f aca="false">IF(A290="","",F289)</f>
        <v/>
      </c>
      <c r="C290" s="23" t="str">
        <f aca="false">IF(A290="","",$B$10)</f>
        <v/>
      </c>
      <c r="D290" s="23" t="str">
        <f aca="false">IF(A290="","",B290*$B$8)</f>
        <v/>
      </c>
      <c r="E290" s="23" t="str">
        <f aca="false">IF(A290="","",C290-D290)</f>
        <v/>
      </c>
      <c r="F290" s="23" t="str">
        <f aca="false">IF(A290="","",B290-E290)</f>
        <v/>
      </c>
    </row>
    <row r="291" customFormat="false" ht="15" hidden="false" customHeight="false" outlineLevel="0" collapsed="false">
      <c r="A291" s="22" t="str">
        <f aca="false">IF(A290="","",IF(A290+1&lt;=$B$9,A290+1,""))</f>
        <v/>
      </c>
      <c r="B291" s="23" t="str">
        <f aca="false">IF(A291="","",F290)</f>
        <v/>
      </c>
      <c r="C291" s="23" t="str">
        <f aca="false">IF(A291="","",$B$10)</f>
        <v/>
      </c>
      <c r="D291" s="23" t="str">
        <f aca="false">IF(A291="","",B291*$B$8)</f>
        <v/>
      </c>
      <c r="E291" s="23" t="str">
        <f aca="false">IF(A291="","",C291-D291)</f>
        <v/>
      </c>
      <c r="F291" s="23" t="str">
        <f aca="false">IF(A291="","",B291-E291)</f>
        <v/>
      </c>
    </row>
    <row r="292" customFormat="false" ht="15" hidden="false" customHeight="false" outlineLevel="0" collapsed="false">
      <c r="A292" s="22" t="str">
        <f aca="false">IF(A291="","",IF(A291+1&lt;=$B$9,A291+1,""))</f>
        <v/>
      </c>
      <c r="B292" s="23" t="str">
        <f aca="false">IF(A292="","",F291)</f>
        <v/>
      </c>
      <c r="C292" s="23" t="str">
        <f aca="false">IF(A292="","",$B$10)</f>
        <v/>
      </c>
      <c r="D292" s="23" t="str">
        <f aca="false">IF(A292="","",B292*$B$8)</f>
        <v/>
      </c>
      <c r="E292" s="23" t="str">
        <f aca="false">IF(A292="","",C292-D292)</f>
        <v/>
      </c>
      <c r="F292" s="23" t="str">
        <f aca="false">IF(A292="","",B292-E292)</f>
        <v/>
      </c>
    </row>
    <row r="293" customFormat="false" ht="15" hidden="false" customHeight="false" outlineLevel="0" collapsed="false">
      <c r="A293" s="22" t="str">
        <f aca="false">IF(A292="","",IF(A292+1&lt;=$B$9,A292+1,""))</f>
        <v/>
      </c>
      <c r="B293" s="23" t="str">
        <f aca="false">IF(A293="","",F292)</f>
        <v/>
      </c>
      <c r="C293" s="23" t="str">
        <f aca="false">IF(A293="","",$B$10)</f>
        <v/>
      </c>
      <c r="D293" s="23" t="str">
        <f aca="false">IF(A293="","",B293*$B$8)</f>
        <v/>
      </c>
      <c r="E293" s="23" t="str">
        <f aca="false">IF(A293="","",C293-D293)</f>
        <v/>
      </c>
      <c r="F293" s="23" t="str">
        <f aca="false">IF(A293="","",B293-E293)</f>
        <v/>
      </c>
    </row>
    <row r="294" customFormat="false" ht="15" hidden="false" customHeight="false" outlineLevel="0" collapsed="false">
      <c r="A294" s="22" t="str">
        <f aca="false">IF(A293="","",IF(A293+1&lt;=$B$9,A293+1,""))</f>
        <v/>
      </c>
      <c r="B294" s="23" t="str">
        <f aca="false">IF(A294="","",F293)</f>
        <v/>
      </c>
      <c r="C294" s="23" t="str">
        <f aca="false">IF(A294="","",$B$10)</f>
        <v/>
      </c>
      <c r="D294" s="23" t="str">
        <f aca="false">IF(A294="","",B294*$B$8)</f>
        <v/>
      </c>
      <c r="E294" s="23" t="str">
        <f aca="false">IF(A294="","",C294-D294)</f>
        <v/>
      </c>
      <c r="F294" s="23" t="str">
        <f aca="false">IF(A294="","",B294-E294)</f>
        <v/>
      </c>
    </row>
    <row r="295" customFormat="false" ht="15" hidden="false" customHeight="false" outlineLevel="0" collapsed="false">
      <c r="A295" s="22" t="str">
        <f aca="false">IF(A294="","",IF(A294+1&lt;=$B$9,A294+1,""))</f>
        <v/>
      </c>
      <c r="B295" s="23" t="str">
        <f aca="false">IF(A295="","",F294)</f>
        <v/>
      </c>
      <c r="C295" s="23" t="str">
        <f aca="false">IF(A295="","",$B$10)</f>
        <v/>
      </c>
      <c r="D295" s="23" t="str">
        <f aca="false">IF(A295="","",B295*$B$8)</f>
        <v/>
      </c>
      <c r="E295" s="23" t="str">
        <f aca="false">IF(A295="","",C295-D295)</f>
        <v/>
      </c>
      <c r="F295" s="23" t="str">
        <f aca="false">IF(A295="","",B295-E295)</f>
        <v/>
      </c>
    </row>
    <row r="296" customFormat="false" ht="15" hidden="false" customHeight="false" outlineLevel="0" collapsed="false">
      <c r="A296" s="22" t="str">
        <f aca="false">IF(A295="","",IF(A295+1&lt;=$B$9,A295+1,""))</f>
        <v/>
      </c>
      <c r="B296" s="23" t="str">
        <f aca="false">IF(A296="","",F295)</f>
        <v/>
      </c>
      <c r="C296" s="23" t="str">
        <f aca="false">IF(A296="","",$B$10)</f>
        <v/>
      </c>
      <c r="D296" s="23" t="str">
        <f aca="false">IF(A296="","",B296*$B$8)</f>
        <v/>
      </c>
      <c r="E296" s="23" t="str">
        <f aca="false">IF(A296="","",C296-D296)</f>
        <v/>
      </c>
      <c r="F296" s="23" t="str">
        <f aca="false">IF(A296="","",B296-E296)</f>
        <v/>
      </c>
    </row>
    <row r="297" customFormat="false" ht="15" hidden="false" customHeight="false" outlineLevel="0" collapsed="false">
      <c r="A297" s="22" t="str">
        <f aca="false">IF(A296="","",IF(A296+1&lt;=$B$9,A296+1,""))</f>
        <v/>
      </c>
      <c r="B297" s="23" t="str">
        <f aca="false">IF(A297="","",F296)</f>
        <v/>
      </c>
      <c r="C297" s="23" t="str">
        <f aca="false">IF(A297="","",$B$10)</f>
        <v/>
      </c>
      <c r="D297" s="23" t="str">
        <f aca="false">IF(A297="","",B297*$B$8)</f>
        <v/>
      </c>
      <c r="E297" s="23" t="str">
        <f aca="false">IF(A297="","",C297-D297)</f>
        <v/>
      </c>
      <c r="F297" s="23" t="str">
        <f aca="false">IF(A297="","",B297-E297)</f>
        <v/>
      </c>
    </row>
    <row r="298" customFormat="false" ht="15" hidden="false" customHeight="false" outlineLevel="0" collapsed="false">
      <c r="A298" s="22" t="str">
        <f aca="false">IF(A297="","",IF(A297+1&lt;=$B$9,A297+1,""))</f>
        <v/>
      </c>
      <c r="B298" s="23" t="str">
        <f aca="false">IF(A298="","",F297)</f>
        <v/>
      </c>
      <c r="C298" s="23" t="str">
        <f aca="false">IF(A298="","",$B$10)</f>
        <v/>
      </c>
      <c r="D298" s="23" t="str">
        <f aca="false">IF(A298="","",B298*$B$8)</f>
        <v/>
      </c>
      <c r="E298" s="23" t="str">
        <f aca="false">IF(A298="","",C298-D298)</f>
        <v/>
      </c>
      <c r="F298" s="23" t="str">
        <f aca="false">IF(A298="","",B298-E298)</f>
        <v/>
      </c>
    </row>
    <row r="299" customFormat="false" ht="15" hidden="false" customHeight="false" outlineLevel="0" collapsed="false">
      <c r="A299" s="22" t="str">
        <f aca="false">IF(A298="","",IF(A298+1&lt;=$B$9,A298+1,""))</f>
        <v/>
      </c>
      <c r="B299" s="23" t="str">
        <f aca="false">IF(A299="","",F298)</f>
        <v/>
      </c>
      <c r="C299" s="23" t="str">
        <f aca="false">IF(A299="","",$B$10)</f>
        <v/>
      </c>
      <c r="D299" s="23" t="str">
        <f aca="false">IF(A299="","",B299*$B$8)</f>
        <v/>
      </c>
      <c r="E299" s="23" t="str">
        <f aca="false">IF(A299="","",C299-D299)</f>
        <v/>
      </c>
      <c r="F299" s="23" t="str">
        <f aca="false">IF(A299="","",B299-E299)</f>
        <v/>
      </c>
    </row>
    <row r="300" customFormat="false" ht="15" hidden="false" customHeight="false" outlineLevel="0" collapsed="false">
      <c r="A300" s="22" t="str">
        <f aca="false">IF(A299="","",IF(A299+1&lt;=$B$9,A299+1,""))</f>
        <v/>
      </c>
      <c r="B300" s="23" t="str">
        <f aca="false">IF(A300="","",F299)</f>
        <v/>
      </c>
      <c r="C300" s="23" t="str">
        <f aca="false">IF(A300="","",$B$10)</f>
        <v/>
      </c>
      <c r="D300" s="23" t="str">
        <f aca="false">IF(A300="","",B300*$B$8)</f>
        <v/>
      </c>
      <c r="E300" s="23" t="str">
        <f aca="false">IF(A300="","",C300-D300)</f>
        <v/>
      </c>
      <c r="F300" s="23" t="str">
        <f aca="false">IF(A300="","",B300-E300)</f>
        <v/>
      </c>
    </row>
    <row r="301" customFormat="false" ht="15" hidden="false" customHeight="false" outlineLevel="0" collapsed="false">
      <c r="A301" s="22" t="str">
        <f aca="false">IF(A300="","",IF(A300+1&lt;=$B$9,A300+1,""))</f>
        <v/>
      </c>
      <c r="B301" s="23" t="str">
        <f aca="false">IF(A301="","",F300)</f>
        <v/>
      </c>
      <c r="C301" s="23" t="str">
        <f aca="false">IF(A301="","",$B$10)</f>
        <v/>
      </c>
      <c r="D301" s="23" t="str">
        <f aca="false">IF(A301="","",B301*$B$8)</f>
        <v/>
      </c>
      <c r="E301" s="23" t="str">
        <f aca="false">IF(A301="","",C301-D301)</f>
        <v/>
      </c>
      <c r="F301" s="23" t="str">
        <f aca="false">IF(A301="","",B301-E301)</f>
        <v/>
      </c>
    </row>
    <row r="302" customFormat="false" ht="15" hidden="false" customHeight="false" outlineLevel="0" collapsed="false">
      <c r="A302" s="22" t="str">
        <f aca="false">IF(A301="","",IF(A301+1&lt;=$B$9,A301+1,""))</f>
        <v/>
      </c>
      <c r="B302" s="23" t="str">
        <f aca="false">IF(A302="","",F301)</f>
        <v/>
      </c>
      <c r="C302" s="23" t="str">
        <f aca="false">IF(A302="","",$B$10)</f>
        <v/>
      </c>
      <c r="D302" s="23" t="str">
        <f aca="false">IF(A302="","",B302*$B$8)</f>
        <v/>
      </c>
      <c r="E302" s="23" t="str">
        <f aca="false">IF(A302="","",C302-D302)</f>
        <v/>
      </c>
      <c r="F302" s="23" t="str">
        <f aca="false">IF(A302="","",B302-E302)</f>
        <v/>
      </c>
    </row>
    <row r="303" customFormat="false" ht="15" hidden="false" customHeight="false" outlineLevel="0" collapsed="false">
      <c r="A303" s="22" t="str">
        <f aca="false">IF(A302="","",IF(A302+1&lt;=$B$9,A302+1,""))</f>
        <v/>
      </c>
      <c r="B303" s="23" t="str">
        <f aca="false">IF(A303="","",F302)</f>
        <v/>
      </c>
      <c r="C303" s="23" t="str">
        <f aca="false">IF(A303="","",$B$10)</f>
        <v/>
      </c>
      <c r="D303" s="23" t="str">
        <f aca="false">IF(A303="","",B303*$B$8)</f>
        <v/>
      </c>
      <c r="E303" s="23" t="str">
        <f aca="false">IF(A303="","",C303-D303)</f>
        <v/>
      </c>
      <c r="F303" s="23" t="str">
        <f aca="false">IF(A303="","",B303-E303)</f>
        <v/>
      </c>
    </row>
    <row r="304" customFormat="false" ht="15" hidden="false" customHeight="false" outlineLevel="0" collapsed="false">
      <c r="A304" s="22" t="str">
        <f aca="false">IF(A303="","",IF(A303+1&lt;=$B$9,A303+1,""))</f>
        <v/>
      </c>
      <c r="B304" s="23" t="str">
        <f aca="false">IF(A304="","",F303)</f>
        <v/>
      </c>
      <c r="C304" s="23" t="str">
        <f aca="false">IF(A304="","",$B$10)</f>
        <v/>
      </c>
      <c r="D304" s="23" t="str">
        <f aca="false">IF(A304="","",B304*$B$8)</f>
        <v/>
      </c>
      <c r="E304" s="23" t="str">
        <f aca="false">IF(A304="","",C304-D304)</f>
        <v/>
      </c>
      <c r="F304" s="23" t="str">
        <f aca="false">IF(A304="","",B304-E304)</f>
        <v/>
      </c>
    </row>
    <row r="305" customFormat="false" ht="15" hidden="false" customHeight="false" outlineLevel="0" collapsed="false">
      <c r="A305" s="22" t="str">
        <f aca="false">IF(A304="","",IF(A304+1&lt;=$B$9,A304+1,""))</f>
        <v/>
      </c>
      <c r="B305" s="23" t="str">
        <f aca="false">IF(A305="","",F304)</f>
        <v/>
      </c>
      <c r="C305" s="23" t="str">
        <f aca="false">IF(A305="","",$B$10)</f>
        <v/>
      </c>
      <c r="D305" s="23" t="str">
        <f aca="false">IF(A305="","",B305*$B$8)</f>
        <v/>
      </c>
      <c r="E305" s="23" t="str">
        <f aca="false">IF(A305="","",C305-D305)</f>
        <v/>
      </c>
      <c r="F305" s="23" t="str">
        <f aca="false">IF(A305="","",B305-E305)</f>
        <v/>
      </c>
    </row>
    <row r="306" customFormat="false" ht="15" hidden="false" customHeight="false" outlineLevel="0" collapsed="false">
      <c r="A306" s="22" t="str">
        <f aca="false">IF(A305="","",IF(A305+1&lt;=$B$9,A305+1,""))</f>
        <v/>
      </c>
      <c r="B306" s="23" t="str">
        <f aca="false">IF(A306="","",F305)</f>
        <v/>
      </c>
      <c r="C306" s="23" t="str">
        <f aca="false">IF(A306="","",$B$10)</f>
        <v/>
      </c>
      <c r="D306" s="23" t="str">
        <f aca="false">IF(A306="","",B306*$B$8)</f>
        <v/>
      </c>
      <c r="E306" s="23" t="str">
        <f aca="false">IF(A306="","",C306-D306)</f>
        <v/>
      </c>
      <c r="F306" s="23" t="str">
        <f aca="false">IF(A306="","",B306-E306)</f>
        <v/>
      </c>
    </row>
    <row r="307" customFormat="false" ht="15" hidden="false" customHeight="false" outlineLevel="0" collapsed="false">
      <c r="A307" s="22" t="str">
        <f aca="false">IF(A306="","",IF(A306+1&lt;=$B$9,A306+1,""))</f>
        <v/>
      </c>
      <c r="B307" s="23" t="str">
        <f aca="false">IF(A307="","",F306)</f>
        <v/>
      </c>
      <c r="C307" s="23" t="str">
        <f aca="false">IF(A307="","",$B$10)</f>
        <v/>
      </c>
      <c r="D307" s="23" t="str">
        <f aca="false">IF(A307="","",B307*$B$8)</f>
        <v/>
      </c>
      <c r="E307" s="23" t="str">
        <f aca="false">IF(A307="","",C307-D307)</f>
        <v/>
      </c>
      <c r="F307" s="23" t="str">
        <f aca="false">IF(A307="","",B307-E307)</f>
        <v/>
      </c>
    </row>
    <row r="308" customFormat="false" ht="15" hidden="false" customHeight="false" outlineLevel="0" collapsed="false">
      <c r="A308" s="22" t="str">
        <f aca="false">IF(A307="","",IF(A307+1&lt;=$B$9,A307+1,""))</f>
        <v/>
      </c>
      <c r="B308" s="23" t="str">
        <f aca="false">IF(A308="","",F307)</f>
        <v/>
      </c>
      <c r="C308" s="23" t="str">
        <f aca="false">IF(A308="","",$B$10)</f>
        <v/>
      </c>
      <c r="D308" s="23" t="str">
        <f aca="false">IF(A308="","",B308*$B$8)</f>
        <v/>
      </c>
      <c r="E308" s="23" t="str">
        <f aca="false">IF(A308="","",C308-D308)</f>
        <v/>
      </c>
      <c r="F308" s="23" t="str">
        <f aca="false">IF(A308="","",B308-E308)</f>
        <v/>
      </c>
    </row>
    <row r="309" customFormat="false" ht="15" hidden="false" customHeight="false" outlineLevel="0" collapsed="false">
      <c r="A309" s="22" t="str">
        <f aca="false">IF(A308="","",IF(A308+1&lt;=$B$9,A308+1,""))</f>
        <v/>
      </c>
      <c r="B309" s="23" t="str">
        <f aca="false">IF(A309="","",F308)</f>
        <v/>
      </c>
      <c r="C309" s="23" t="str">
        <f aca="false">IF(A309="","",$B$10)</f>
        <v/>
      </c>
      <c r="D309" s="23" t="str">
        <f aca="false">IF(A309="","",B309*$B$8)</f>
        <v/>
      </c>
      <c r="E309" s="23" t="str">
        <f aca="false">IF(A309="","",C309-D309)</f>
        <v/>
      </c>
      <c r="F309" s="23" t="str">
        <f aca="false">IF(A309="","",B309-E309)</f>
        <v/>
      </c>
    </row>
    <row r="310" customFormat="false" ht="15" hidden="false" customHeight="false" outlineLevel="0" collapsed="false">
      <c r="A310" s="22" t="str">
        <f aca="false">IF(A309="","",IF(A309+1&lt;=$B$9,A309+1,""))</f>
        <v/>
      </c>
      <c r="B310" s="23" t="str">
        <f aca="false">IF(A310="","",F309)</f>
        <v/>
      </c>
      <c r="C310" s="23" t="str">
        <f aca="false">IF(A310="","",$B$10)</f>
        <v/>
      </c>
      <c r="D310" s="23" t="str">
        <f aca="false">IF(A310="","",B310*$B$8)</f>
        <v/>
      </c>
      <c r="E310" s="23" t="str">
        <f aca="false">IF(A310="","",C310-D310)</f>
        <v/>
      </c>
      <c r="F310" s="23" t="str">
        <f aca="false">IF(A310="","",B310-E310)</f>
        <v/>
      </c>
    </row>
    <row r="311" customFormat="false" ht="15" hidden="false" customHeight="false" outlineLevel="0" collapsed="false">
      <c r="A311" s="22" t="str">
        <f aca="false">IF(A310="","",IF(A310+1&lt;=$B$9,A310+1,""))</f>
        <v/>
      </c>
      <c r="B311" s="23" t="str">
        <f aca="false">IF(A311="","",F310)</f>
        <v/>
      </c>
      <c r="C311" s="23" t="str">
        <f aca="false">IF(A311="","",$B$10)</f>
        <v/>
      </c>
      <c r="D311" s="23" t="str">
        <f aca="false">IF(A311="","",B311*$B$8)</f>
        <v/>
      </c>
      <c r="E311" s="23" t="str">
        <f aca="false">IF(A311="","",C311-D311)</f>
        <v/>
      </c>
      <c r="F311" s="23" t="str">
        <f aca="false">IF(A311="","",B311-E311)</f>
        <v/>
      </c>
    </row>
    <row r="312" customFormat="false" ht="15" hidden="false" customHeight="false" outlineLevel="0" collapsed="false">
      <c r="A312" s="22" t="str">
        <f aca="false">IF(A311="","",IF(A311+1&lt;=$B$9,A311+1,""))</f>
        <v/>
      </c>
      <c r="B312" s="23" t="str">
        <f aca="false">IF(A312="","",F311)</f>
        <v/>
      </c>
      <c r="C312" s="23" t="str">
        <f aca="false">IF(A312="","",$B$10)</f>
        <v/>
      </c>
      <c r="D312" s="23" t="str">
        <f aca="false">IF(A312="","",B312*$B$8)</f>
        <v/>
      </c>
      <c r="E312" s="23" t="str">
        <f aca="false">IF(A312="","",C312-D312)</f>
        <v/>
      </c>
      <c r="F312" s="23" t="str">
        <f aca="false">IF(A312="","",B312-E312)</f>
        <v/>
      </c>
    </row>
    <row r="313" customFormat="false" ht="15" hidden="false" customHeight="false" outlineLevel="0" collapsed="false">
      <c r="A313" s="22" t="str">
        <f aca="false">IF(A312="","",IF(A312+1&lt;=$B$9,A312+1,""))</f>
        <v/>
      </c>
      <c r="B313" s="23" t="str">
        <f aca="false">IF(A313="","",F312)</f>
        <v/>
      </c>
      <c r="C313" s="23" t="str">
        <f aca="false">IF(A313="","",$B$10)</f>
        <v/>
      </c>
      <c r="D313" s="23" t="str">
        <f aca="false">IF(A313="","",B313*$B$8)</f>
        <v/>
      </c>
      <c r="E313" s="23" t="str">
        <f aca="false">IF(A313="","",C313-D313)</f>
        <v/>
      </c>
      <c r="F313" s="23" t="str">
        <f aca="false">IF(A313="","",B313-E313)</f>
        <v/>
      </c>
    </row>
    <row r="314" customFormat="false" ht="15" hidden="false" customHeight="false" outlineLevel="0" collapsed="false">
      <c r="A314" s="22" t="str">
        <f aca="false">IF(A313="","",IF(A313+1&lt;=$B$9,A313+1,""))</f>
        <v/>
      </c>
      <c r="B314" s="23" t="str">
        <f aca="false">IF(A314="","",F313)</f>
        <v/>
      </c>
      <c r="C314" s="23" t="str">
        <f aca="false">IF(A314="","",$B$10)</f>
        <v/>
      </c>
      <c r="D314" s="23" t="str">
        <f aca="false">IF(A314="","",B314*$B$8)</f>
        <v/>
      </c>
      <c r="E314" s="23" t="str">
        <f aca="false">IF(A314="","",C314-D314)</f>
        <v/>
      </c>
      <c r="F314" s="23" t="str">
        <f aca="false">IF(A314="","",B314-E314)</f>
        <v/>
      </c>
    </row>
    <row r="315" customFormat="false" ht="15" hidden="false" customHeight="false" outlineLevel="0" collapsed="false">
      <c r="A315" s="22" t="str">
        <f aca="false">IF(A314="","",IF(A314+1&lt;=$B$9,A314+1,""))</f>
        <v/>
      </c>
      <c r="B315" s="23" t="str">
        <f aca="false">IF(A315="","",F314)</f>
        <v/>
      </c>
      <c r="C315" s="23" t="str">
        <f aca="false">IF(A315="","",$B$10)</f>
        <v/>
      </c>
      <c r="D315" s="23" t="str">
        <f aca="false">IF(A315="","",B315*$B$8)</f>
        <v/>
      </c>
      <c r="E315" s="23" t="str">
        <f aca="false">IF(A315="","",C315-D315)</f>
        <v/>
      </c>
      <c r="F315" s="23" t="str">
        <f aca="false">IF(A315="","",B315-E315)</f>
        <v/>
      </c>
    </row>
    <row r="316" customFormat="false" ht="15" hidden="false" customHeight="false" outlineLevel="0" collapsed="false">
      <c r="A316" s="22" t="str">
        <f aca="false">IF(A315="","",IF(A315+1&lt;=$B$9,A315+1,""))</f>
        <v/>
      </c>
      <c r="B316" s="23" t="str">
        <f aca="false">IF(A316="","",F315)</f>
        <v/>
      </c>
      <c r="C316" s="23" t="str">
        <f aca="false">IF(A316="","",$B$10)</f>
        <v/>
      </c>
      <c r="D316" s="23" t="str">
        <f aca="false">IF(A316="","",B316*$B$8)</f>
        <v/>
      </c>
      <c r="E316" s="23" t="str">
        <f aca="false">IF(A316="","",C316-D316)</f>
        <v/>
      </c>
      <c r="F316" s="23" t="str">
        <f aca="false">IF(A316="","",B316-E316)</f>
        <v/>
      </c>
    </row>
    <row r="317" customFormat="false" ht="15" hidden="false" customHeight="false" outlineLevel="0" collapsed="false">
      <c r="A317" s="22" t="str">
        <f aca="false">IF(A316="","",IF(A316+1&lt;=$B$9,A316+1,""))</f>
        <v/>
      </c>
      <c r="B317" s="23" t="str">
        <f aca="false">IF(A317="","",F316)</f>
        <v/>
      </c>
      <c r="C317" s="23" t="str">
        <f aca="false">IF(A317="","",$B$10)</f>
        <v/>
      </c>
      <c r="D317" s="23" t="str">
        <f aca="false">IF(A317="","",B317*$B$8)</f>
        <v/>
      </c>
      <c r="E317" s="23" t="str">
        <f aca="false">IF(A317="","",C317-D317)</f>
        <v/>
      </c>
      <c r="F317" s="23" t="str">
        <f aca="false">IF(A317="","",B317-E317)</f>
        <v/>
      </c>
    </row>
    <row r="318" customFormat="false" ht="15" hidden="false" customHeight="false" outlineLevel="0" collapsed="false">
      <c r="A318" s="22" t="str">
        <f aca="false">IF(A317="","",IF(A317+1&lt;=$B$9,A317+1,""))</f>
        <v/>
      </c>
      <c r="B318" s="23" t="str">
        <f aca="false">IF(A318="","",F317)</f>
        <v/>
      </c>
      <c r="C318" s="23" t="str">
        <f aca="false">IF(A318="","",$B$10)</f>
        <v/>
      </c>
      <c r="D318" s="23" t="str">
        <f aca="false">IF(A318="","",B318*$B$8)</f>
        <v/>
      </c>
      <c r="E318" s="23" t="str">
        <f aca="false">IF(A318="","",C318-D318)</f>
        <v/>
      </c>
      <c r="F318" s="23" t="str">
        <f aca="false">IF(A318="","",B318-E318)</f>
        <v/>
      </c>
    </row>
    <row r="319" customFormat="false" ht="15" hidden="false" customHeight="false" outlineLevel="0" collapsed="false">
      <c r="A319" s="22" t="str">
        <f aca="false">IF(A318="","",IF(A318+1&lt;=$B$9,A318+1,""))</f>
        <v/>
      </c>
      <c r="B319" s="23" t="str">
        <f aca="false">IF(A319="","",F318)</f>
        <v/>
      </c>
      <c r="C319" s="23" t="str">
        <f aca="false">IF(A319="","",$B$10)</f>
        <v/>
      </c>
      <c r="D319" s="23" t="str">
        <f aca="false">IF(A319="","",B319*$B$8)</f>
        <v/>
      </c>
      <c r="E319" s="23" t="str">
        <f aca="false">IF(A319="","",C319-D319)</f>
        <v/>
      </c>
      <c r="F319" s="23" t="str">
        <f aca="false">IF(A319="","",B319-E319)</f>
        <v/>
      </c>
    </row>
    <row r="320" customFormat="false" ht="15" hidden="false" customHeight="false" outlineLevel="0" collapsed="false">
      <c r="A320" s="22" t="str">
        <f aca="false">IF(A319="","",IF(A319+1&lt;=$B$9,A319+1,""))</f>
        <v/>
      </c>
      <c r="B320" s="23" t="str">
        <f aca="false">IF(A320="","",F319)</f>
        <v/>
      </c>
      <c r="C320" s="23" t="str">
        <f aca="false">IF(A320="","",$B$10)</f>
        <v/>
      </c>
      <c r="D320" s="23" t="str">
        <f aca="false">IF(A320="","",B320*$B$8)</f>
        <v/>
      </c>
      <c r="E320" s="23" t="str">
        <f aca="false">IF(A320="","",C320-D320)</f>
        <v/>
      </c>
      <c r="F320" s="23" t="str">
        <f aca="false">IF(A320="","",B320-E320)</f>
        <v/>
      </c>
    </row>
    <row r="321" customFormat="false" ht="15" hidden="false" customHeight="false" outlineLevel="0" collapsed="false">
      <c r="A321" s="22" t="str">
        <f aca="false">IF(A320="","",IF(A320+1&lt;=$B$9,A320+1,""))</f>
        <v/>
      </c>
      <c r="B321" s="23" t="str">
        <f aca="false">IF(A321="","",F320)</f>
        <v/>
      </c>
      <c r="C321" s="23" t="str">
        <f aca="false">IF(A321="","",$B$10)</f>
        <v/>
      </c>
      <c r="D321" s="23" t="str">
        <f aca="false">IF(A321="","",B321*$B$8)</f>
        <v/>
      </c>
      <c r="E321" s="23" t="str">
        <f aca="false">IF(A321="","",C321-D321)</f>
        <v/>
      </c>
      <c r="F321" s="23" t="str">
        <f aca="false">IF(A321="","",B321-E321)</f>
        <v/>
      </c>
    </row>
    <row r="322" customFormat="false" ht="15" hidden="false" customHeight="false" outlineLevel="0" collapsed="false">
      <c r="A322" s="22" t="str">
        <f aca="false">IF(A321="","",IF(A321+1&lt;=$B$9,A321+1,""))</f>
        <v/>
      </c>
      <c r="B322" s="23" t="str">
        <f aca="false">IF(A322="","",F321)</f>
        <v/>
      </c>
      <c r="C322" s="23" t="str">
        <f aca="false">IF(A322="","",$B$10)</f>
        <v/>
      </c>
      <c r="D322" s="23" t="str">
        <f aca="false">IF(A322="","",B322*$B$8)</f>
        <v/>
      </c>
      <c r="E322" s="23" t="str">
        <f aca="false">IF(A322="","",C322-D322)</f>
        <v/>
      </c>
      <c r="F322" s="23" t="str">
        <f aca="false">IF(A322="","",B322-E322)</f>
        <v/>
      </c>
    </row>
    <row r="323" customFormat="false" ht="15" hidden="false" customHeight="false" outlineLevel="0" collapsed="false">
      <c r="A323" s="22" t="str">
        <f aca="false">IF(A322="","",IF(A322+1&lt;=$B$9,A322+1,""))</f>
        <v/>
      </c>
      <c r="B323" s="23" t="str">
        <f aca="false">IF(A323="","",F322)</f>
        <v/>
      </c>
      <c r="C323" s="23" t="str">
        <f aca="false">IF(A323="","",$B$10)</f>
        <v/>
      </c>
      <c r="D323" s="23" t="str">
        <f aca="false">IF(A323="","",B323*$B$8)</f>
        <v/>
      </c>
      <c r="E323" s="23" t="str">
        <f aca="false">IF(A323="","",C323-D323)</f>
        <v/>
      </c>
      <c r="F323" s="23" t="str">
        <f aca="false">IF(A323="","",B323-E323)</f>
        <v/>
      </c>
    </row>
    <row r="324" customFormat="false" ht="15" hidden="false" customHeight="false" outlineLevel="0" collapsed="false">
      <c r="A324" s="22" t="str">
        <f aca="false">IF(A323="","",IF(A323+1&lt;=$B$9,A323+1,""))</f>
        <v/>
      </c>
      <c r="B324" s="23" t="str">
        <f aca="false">IF(A324="","",F323)</f>
        <v/>
      </c>
      <c r="C324" s="23" t="str">
        <f aca="false">IF(A324="","",$B$10)</f>
        <v/>
      </c>
      <c r="D324" s="23" t="str">
        <f aca="false">IF(A324="","",B324*$B$8)</f>
        <v/>
      </c>
      <c r="E324" s="23" t="str">
        <f aca="false">IF(A324="","",C324-D324)</f>
        <v/>
      </c>
      <c r="F324" s="23" t="str">
        <f aca="false">IF(A324="","",B324-E324)</f>
        <v/>
      </c>
    </row>
    <row r="325" customFormat="false" ht="15" hidden="false" customHeight="false" outlineLevel="0" collapsed="false">
      <c r="A325" s="22" t="str">
        <f aca="false">IF(A324="","",IF(A324+1&lt;=$B$9,A324+1,""))</f>
        <v/>
      </c>
      <c r="B325" s="23" t="str">
        <f aca="false">IF(A325="","",F324)</f>
        <v/>
      </c>
      <c r="C325" s="23" t="str">
        <f aca="false">IF(A325="","",$B$10)</f>
        <v/>
      </c>
      <c r="D325" s="23" t="str">
        <f aca="false">IF(A325="","",B325*$B$8)</f>
        <v/>
      </c>
      <c r="E325" s="23" t="str">
        <f aca="false">IF(A325="","",C325-D325)</f>
        <v/>
      </c>
      <c r="F325" s="23" t="str">
        <f aca="false">IF(A325="","",B325-E325)</f>
        <v/>
      </c>
    </row>
    <row r="326" customFormat="false" ht="15" hidden="false" customHeight="false" outlineLevel="0" collapsed="false">
      <c r="A326" s="22" t="str">
        <f aca="false">IF(A325="","",IF(A325+1&lt;=$B$9,A325+1,""))</f>
        <v/>
      </c>
      <c r="B326" s="23" t="str">
        <f aca="false">IF(A326="","",F325)</f>
        <v/>
      </c>
      <c r="C326" s="23" t="str">
        <f aca="false">IF(A326="","",$B$10)</f>
        <v/>
      </c>
      <c r="D326" s="23" t="str">
        <f aca="false">IF(A326="","",B326*$B$8)</f>
        <v/>
      </c>
      <c r="E326" s="23" t="str">
        <f aca="false">IF(A326="","",C326-D326)</f>
        <v/>
      </c>
      <c r="F326" s="23" t="str">
        <f aca="false">IF(A326="","",B326-E326)</f>
        <v/>
      </c>
    </row>
    <row r="327" customFormat="false" ht="15" hidden="false" customHeight="false" outlineLevel="0" collapsed="false">
      <c r="A327" s="22" t="str">
        <f aca="false">IF(A326="","",IF(A326+1&lt;=$B$9,A326+1,""))</f>
        <v/>
      </c>
      <c r="B327" s="23" t="str">
        <f aca="false">IF(A327="","",F326)</f>
        <v/>
      </c>
      <c r="C327" s="23" t="str">
        <f aca="false">IF(A327="","",$B$10)</f>
        <v/>
      </c>
      <c r="D327" s="23" t="str">
        <f aca="false">IF(A327="","",B327*$B$8)</f>
        <v/>
      </c>
      <c r="E327" s="23" t="str">
        <f aca="false">IF(A327="","",C327-D327)</f>
        <v/>
      </c>
      <c r="F327" s="23" t="str">
        <f aca="false">IF(A327="","",B327-E327)</f>
        <v/>
      </c>
    </row>
    <row r="328" customFormat="false" ht="15" hidden="false" customHeight="false" outlineLevel="0" collapsed="false">
      <c r="A328" s="22" t="str">
        <f aca="false">IF(A327="","",IF(A327+1&lt;=$B$9,A327+1,""))</f>
        <v/>
      </c>
      <c r="B328" s="23" t="str">
        <f aca="false">IF(A328="","",F327)</f>
        <v/>
      </c>
      <c r="C328" s="23" t="str">
        <f aca="false">IF(A328="","",$B$10)</f>
        <v/>
      </c>
      <c r="D328" s="23" t="str">
        <f aca="false">IF(A328="","",B328*$B$8)</f>
        <v/>
      </c>
      <c r="E328" s="23" t="str">
        <f aca="false">IF(A328="","",C328-D328)</f>
        <v/>
      </c>
      <c r="F328" s="23" t="str">
        <f aca="false">IF(A328="","",B328-E328)</f>
        <v/>
      </c>
    </row>
    <row r="329" customFormat="false" ht="15" hidden="false" customHeight="false" outlineLevel="0" collapsed="false">
      <c r="A329" s="22" t="str">
        <f aca="false">IF(A328="","",IF(A328+1&lt;=$B$9,A328+1,""))</f>
        <v/>
      </c>
      <c r="B329" s="23" t="str">
        <f aca="false">IF(A329="","",F328)</f>
        <v/>
      </c>
      <c r="C329" s="23" t="str">
        <f aca="false">IF(A329="","",$B$10)</f>
        <v/>
      </c>
      <c r="D329" s="23" t="str">
        <f aca="false">IF(A329="","",B329*$B$8)</f>
        <v/>
      </c>
      <c r="E329" s="23" t="str">
        <f aca="false">IF(A329="","",C329-D329)</f>
        <v/>
      </c>
      <c r="F329" s="23" t="str">
        <f aca="false">IF(A329="","",B329-E329)</f>
        <v/>
      </c>
    </row>
    <row r="330" customFormat="false" ht="15" hidden="false" customHeight="false" outlineLevel="0" collapsed="false">
      <c r="A330" s="22" t="str">
        <f aca="false">IF(A329="","",IF(A329+1&lt;=$B$9,A329+1,""))</f>
        <v/>
      </c>
      <c r="B330" s="23" t="str">
        <f aca="false">IF(A330="","",F329)</f>
        <v/>
      </c>
      <c r="C330" s="23" t="str">
        <f aca="false">IF(A330="","",$B$10)</f>
        <v/>
      </c>
      <c r="D330" s="23" t="str">
        <f aca="false">IF(A330="","",B330*$B$8)</f>
        <v/>
      </c>
      <c r="E330" s="23" t="str">
        <f aca="false">IF(A330="","",C330-D330)</f>
        <v/>
      </c>
      <c r="F330" s="23" t="str">
        <f aca="false">IF(A330="","",B330-E330)</f>
        <v/>
      </c>
    </row>
    <row r="331" customFormat="false" ht="15" hidden="false" customHeight="false" outlineLevel="0" collapsed="false">
      <c r="A331" s="22" t="str">
        <f aca="false">IF(A330="","",IF(A330+1&lt;=$B$9,A330+1,""))</f>
        <v/>
      </c>
      <c r="B331" s="23" t="str">
        <f aca="false">IF(A331="","",F330)</f>
        <v/>
      </c>
      <c r="C331" s="23" t="str">
        <f aca="false">IF(A331="","",$B$10)</f>
        <v/>
      </c>
      <c r="D331" s="23" t="str">
        <f aca="false">IF(A331="","",B331*$B$8)</f>
        <v/>
      </c>
      <c r="E331" s="23" t="str">
        <f aca="false">IF(A331="","",C331-D331)</f>
        <v/>
      </c>
      <c r="F331" s="23" t="str">
        <f aca="false">IF(A331="","",B331-E331)</f>
        <v/>
      </c>
    </row>
    <row r="332" customFormat="false" ht="15" hidden="false" customHeight="false" outlineLevel="0" collapsed="false">
      <c r="A332" s="22" t="str">
        <f aca="false">IF(A331="","",IF(A331+1&lt;=$B$9,A331+1,""))</f>
        <v/>
      </c>
      <c r="B332" s="23" t="str">
        <f aca="false">IF(A332="","",F331)</f>
        <v/>
      </c>
      <c r="C332" s="23" t="str">
        <f aca="false">IF(A332="","",$B$10)</f>
        <v/>
      </c>
      <c r="D332" s="23" t="str">
        <f aca="false">IF(A332="","",B332*$B$8)</f>
        <v/>
      </c>
      <c r="E332" s="23" t="str">
        <f aca="false">IF(A332="","",C332-D332)</f>
        <v/>
      </c>
      <c r="F332" s="23" t="str">
        <f aca="false">IF(A332="","",B332-E332)</f>
        <v/>
      </c>
    </row>
    <row r="333" customFormat="false" ht="15" hidden="false" customHeight="false" outlineLevel="0" collapsed="false">
      <c r="A333" s="22" t="str">
        <f aca="false">IF(A332="","",IF(A332+1&lt;=$B$9,A332+1,""))</f>
        <v/>
      </c>
      <c r="B333" s="23" t="str">
        <f aca="false">IF(A333="","",F332)</f>
        <v/>
      </c>
      <c r="C333" s="23" t="str">
        <f aca="false">IF(A333="","",$B$10)</f>
        <v/>
      </c>
      <c r="D333" s="23" t="str">
        <f aca="false">IF(A333="","",B333*$B$8)</f>
        <v/>
      </c>
      <c r="E333" s="23" t="str">
        <f aca="false">IF(A333="","",C333-D333)</f>
        <v/>
      </c>
      <c r="F333" s="23" t="str">
        <f aca="false">IF(A333="","",B333-E333)</f>
        <v/>
      </c>
    </row>
    <row r="334" customFormat="false" ht="15" hidden="false" customHeight="false" outlineLevel="0" collapsed="false">
      <c r="A334" s="22" t="str">
        <f aca="false">IF(A333="","",IF(A333+1&lt;=$B$9,A333+1,""))</f>
        <v/>
      </c>
      <c r="B334" s="23" t="str">
        <f aca="false">IF(A334="","",F333)</f>
        <v/>
      </c>
      <c r="C334" s="23" t="str">
        <f aca="false">IF(A334="","",$B$10)</f>
        <v/>
      </c>
      <c r="D334" s="23" t="str">
        <f aca="false">IF(A334="","",B334*$B$8)</f>
        <v/>
      </c>
      <c r="E334" s="23" t="str">
        <f aca="false">IF(A334="","",C334-D334)</f>
        <v/>
      </c>
      <c r="F334" s="23" t="str">
        <f aca="false">IF(A334="","",B334-E334)</f>
        <v/>
      </c>
    </row>
    <row r="335" customFormat="false" ht="15" hidden="false" customHeight="false" outlineLevel="0" collapsed="false">
      <c r="A335" s="22" t="str">
        <f aca="false">IF(A334="","",IF(A334+1&lt;=$B$9,A334+1,""))</f>
        <v/>
      </c>
      <c r="B335" s="23" t="str">
        <f aca="false">IF(A335="","",F334)</f>
        <v/>
      </c>
      <c r="C335" s="23" t="str">
        <f aca="false">IF(A335="","",$B$10)</f>
        <v/>
      </c>
      <c r="D335" s="23" t="str">
        <f aca="false">IF(A335="","",B335*$B$8)</f>
        <v/>
      </c>
      <c r="E335" s="23" t="str">
        <f aca="false">IF(A335="","",C335-D335)</f>
        <v/>
      </c>
      <c r="F335" s="23" t="str">
        <f aca="false">IF(A335="","",B335-E335)</f>
        <v/>
      </c>
    </row>
    <row r="336" customFormat="false" ht="15" hidden="false" customHeight="false" outlineLevel="0" collapsed="false">
      <c r="A336" s="22" t="str">
        <f aca="false">IF(A335="","",IF(A335+1&lt;=$B$9,A335+1,""))</f>
        <v/>
      </c>
      <c r="B336" s="23" t="str">
        <f aca="false">IF(A336="","",F335)</f>
        <v/>
      </c>
      <c r="C336" s="23" t="str">
        <f aca="false">IF(A336="","",$B$10)</f>
        <v/>
      </c>
      <c r="D336" s="23" t="str">
        <f aca="false">IF(A336="","",B336*$B$8)</f>
        <v/>
      </c>
      <c r="E336" s="23" t="str">
        <f aca="false">IF(A336="","",C336-D336)</f>
        <v/>
      </c>
      <c r="F336" s="23" t="str">
        <f aca="false">IF(A336="","",B336-E336)</f>
        <v/>
      </c>
    </row>
    <row r="337" customFormat="false" ht="15" hidden="false" customHeight="false" outlineLevel="0" collapsed="false">
      <c r="A337" s="22" t="str">
        <f aca="false">IF(A336="","",IF(A336+1&lt;=$B$9,A336+1,""))</f>
        <v/>
      </c>
      <c r="B337" s="23" t="str">
        <f aca="false">IF(A337="","",F336)</f>
        <v/>
      </c>
      <c r="C337" s="23" t="str">
        <f aca="false">IF(A337="","",$B$10)</f>
        <v/>
      </c>
      <c r="D337" s="23" t="str">
        <f aca="false">IF(A337="","",B337*$B$8)</f>
        <v/>
      </c>
      <c r="E337" s="23" t="str">
        <f aca="false">IF(A337="","",C337-D337)</f>
        <v/>
      </c>
      <c r="F337" s="23" t="str">
        <f aca="false">IF(A337="","",B337-E337)</f>
        <v/>
      </c>
    </row>
    <row r="338" customFormat="false" ht="15" hidden="false" customHeight="false" outlineLevel="0" collapsed="false">
      <c r="A338" s="22" t="str">
        <f aca="false">IF(A337="","",IF(A337+1&lt;=$B$9,A337+1,""))</f>
        <v/>
      </c>
      <c r="B338" s="23" t="str">
        <f aca="false">IF(A338="","",F337)</f>
        <v/>
      </c>
      <c r="C338" s="23" t="str">
        <f aca="false">IF(A338="","",$B$10)</f>
        <v/>
      </c>
      <c r="D338" s="23" t="str">
        <f aca="false">IF(A338="","",B338*$B$8)</f>
        <v/>
      </c>
      <c r="E338" s="23" t="str">
        <f aca="false">IF(A338="","",C338-D338)</f>
        <v/>
      </c>
      <c r="F338" s="23" t="str">
        <f aca="false">IF(A338="","",B338-E338)</f>
        <v/>
      </c>
    </row>
    <row r="339" customFormat="false" ht="15" hidden="false" customHeight="false" outlineLevel="0" collapsed="false">
      <c r="A339" s="22" t="str">
        <f aca="false">IF(A338="","",IF(A338+1&lt;=$B$9,A338+1,""))</f>
        <v/>
      </c>
      <c r="B339" s="23" t="str">
        <f aca="false">IF(A339="","",F338)</f>
        <v/>
      </c>
      <c r="C339" s="23" t="str">
        <f aca="false">IF(A339="","",$B$10)</f>
        <v/>
      </c>
      <c r="D339" s="23" t="str">
        <f aca="false">IF(A339="","",B339*$B$8)</f>
        <v/>
      </c>
      <c r="E339" s="23" t="str">
        <f aca="false">IF(A339="","",C339-D339)</f>
        <v/>
      </c>
      <c r="F339" s="23" t="str">
        <f aca="false">IF(A339="","",B339-E339)</f>
        <v/>
      </c>
    </row>
    <row r="340" customFormat="false" ht="15" hidden="false" customHeight="false" outlineLevel="0" collapsed="false">
      <c r="A340" s="22" t="str">
        <f aca="false">IF(A339="","",IF(A339+1&lt;=$B$9,A339+1,""))</f>
        <v/>
      </c>
      <c r="B340" s="23" t="str">
        <f aca="false">IF(A340="","",F339)</f>
        <v/>
      </c>
      <c r="C340" s="23" t="str">
        <f aca="false">IF(A340="","",$B$10)</f>
        <v/>
      </c>
      <c r="D340" s="23" t="str">
        <f aca="false">IF(A340="","",B340*$B$8)</f>
        <v/>
      </c>
      <c r="E340" s="23" t="str">
        <f aca="false">IF(A340="","",C340-D340)</f>
        <v/>
      </c>
      <c r="F340" s="23" t="str">
        <f aca="false">IF(A340="","",B340-E340)</f>
        <v/>
      </c>
    </row>
    <row r="341" customFormat="false" ht="15" hidden="false" customHeight="false" outlineLevel="0" collapsed="false">
      <c r="A341" s="22" t="str">
        <f aca="false">IF(A340="","",IF(A340+1&lt;=$B$9,A340+1,""))</f>
        <v/>
      </c>
      <c r="B341" s="23" t="str">
        <f aca="false">IF(A341="","",F340)</f>
        <v/>
      </c>
      <c r="C341" s="23" t="str">
        <f aca="false">IF(A341="","",$B$10)</f>
        <v/>
      </c>
      <c r="D341" s="23" t="str">
        <f aca="false">IF(A341="","",B341*$B$8)</f>
        <v/>
      </c>
      <c r="E341" s="23" t="str">
        <f aca="false">IF(A341="","",C341-D341)</f>
        <v/>
      </c>
      <c r="F341" s="23" t="str">
        <f aca="false">IF(A341="","",B341-E341)</f>
        <v/>
      </c>
    </row>
    <row r="342" customFormat="false" ht="15" hidden="false" customHeight="false" outlineLevel="0" collapsed="false">
      <c r="A342" s="22" t="str">
        <f aca="false">IF(A341="","",IF(A341+1&lt;=$B$9,A341+1,""))</f>
        <v/>
      </c>
      <c r="B342" s="23" t="str">
        <f aca="false">IF(A342="","",F341)</f>
        <v/>
      </c>
      <c r="C342" s="23" t="str">
        <f aca="false">IF(A342="","",$B$10)</f>
        <v/>
      </c>
      <c r="D342" s="23" t="str">
        <f aca="false">IF(A342="","",B342*$B$8)</f>
        <v/>
      </c>
      <c r="E342" s="23" t="str">
        <f aca="false">IF(A342="","",C342-D342)</f>
        <v/>
      </c>
      <c r="F342" s="23" t="str">
        <f aca="false">IF(A342="","",B342-E342)</f>
        <v/>
      </c>
    </row>
    <row r="343" customFormat="false" ht="15" hidden="false" customHeight="false" outlineLevel="0" collapsed="false">
      <c r="A343" s="22" t="str">
        <f aca="false">IF(A342="","",IF(A342+1&lt;=$B$9,A342+1,""))</f>
        <v/>
      </c>
      <c r="B343" s="23" t="str">
        <f aca="false">IF(A343="","",F342)</f>
        <v/>
      </c>
      <c r="C343" s="23" t="str">
        <f aca="false">IF(A343="","",$B$10)</f>
        <v/>
      </c>
      <c r="D343" s="23" t="str">
        <f aca="false">IF(A343="","",B343*$B$8)</f>
        <v/>
      </c>
      <c r="E343" s="23" t="str">
        <f aca="false">IF(A343="","",C343-D343)</f>
        <v/>
      </c>
      <c r="F343" s="23" t="str">
        <f aca="false">IF(A343="","",B343-E343)</f>
        <v/>
      </c>
    </row>
    <row r="344" customFormat="false" ht="15" hidden="false" customHeight="false" outlineLevel="0" collapsed="false">
      <c r="A344" s="22" t="str">
        <f aca="false">IF(A343="","",IF(A343+1&lt;=$B$9,A343+1,""))</f>
        <v/>
      </c>
      <c r="B344" s="23" t="str">
        <f aca="false">IF(A344="","",F343)</f>
        <v/>
      </c>
      <c r="C344" s="23" t="str">
        <f aca="false">IF(A344="","",$B$10)</f>
        <v/>
      </c>
      <c r="D344" s="23" t="str">
        <f aca="false">IF(A344="","",B344*$B$8)</f>
        <v/>
      </c>
      <c r="E344" s="23" t="str">
        <f aca="false">IF(A344="","",C344-D344)</f>
        <v/>
      </c>
      <c r="F344" s="23" t="str">
        <f aca="false">IF(A344="","",B344-E344)</f>
        <v/>
      </c>
    </row>
    <row r="345" customFormat="false" ht="15" hidden="false" customHeight="false" outlineLevel="0" collapsed="false">
      <c r="A345" s="22" t="str">
        <f aca="false">IF(A344="","",IF(A344+1&lt;=$B$9,A344+1,""))</f>
        <v/>
      </c>
      <c r="B345" s="23" t="str">
        <f aca="false">IF(A345="","",F344)</f>
        <v/>
      </c>
      <c r="C345" s="23" t="str">
        <f aca="false">IF(A345="","",$B$10)</f>
        <v/>
      </c>
      <c r="D345" s="23" t="str">
        <f aca="false">IF(A345="","",B345*$B$8)</f>
        <v/>
      </c>
      <c r="E345" s="23" t="str">
        <f aca="false">IF(A345="","",C345-D345)</f>
        <v/>
      </c>
      <c r="F345" s="23" t="str">
        <f aca="false">IF(A345="","",B345-E345)</f>
        <v/>
      </c>
    </row>
    <row r="346" customFormat="false" ht="15" hidden="false" customHeight="false" outlineLevel="0" collapsed="false">
      <c r="A346" s="22" t="str">
        <f aca="false">IF(A345="","",IF(A345+1&lt;=$B$9,A345+1,""))</f>
        <v/>
      </c>
      <c r="B346" s="23" t="str">
        <f aca="false">IF(A346="","",F345)</f>
        <v/>
      </c>
      <c r="C346" s="23" t="str">
        <f aca="false">IF(A346="","",$B$10)</f>
        <v/>
      </c>
      <c r="D346" s="23" t="str">
        <f aca="false">IF(A346="","",B346*$B$8)</f>
        <v/>
      </c>
      <c r="E346" s="23" t="str">
        <f aca="false">IF(A346="","",C346-D346)</f>
        <v/>
      </c>
      <c r="F346" s="23" t="str">
        <f aca="false">IF(A346="","",B346-E346)</f>
        <v/>
      </c>
    </row>
    <row r="347" customFormat="false" ht="15" hidden="false" customHeight="false" outlineLevel="0" collapsed="false">
      <c r="A347" s="22" t="str">
        <f aca="false">IF(A346="","",IF(A346+1&lt;=$B$9,A346+1,""))</f>
        <v/>
      </c>
      <c r="B347" s="23" t="str">
        <f aca="false">IF(A347="","",F346)</f>
        <v/>
      </c>
      <c r="C347" s="23" t="str">
        <f aca="false">IF(A347="","",$B$10)</f>
        <v/>
      </c>
      <c r="D347" s="23" t="str">
        <f aca="false">IF(A347="","",B347*$B$8)</f>
        <v/>
      </c>
      <c r="E347" s="23" t="str">
        <f aca="false">IF(A347="","",C347-D347)</f>
        <v/>
      </c>
      <c r="F347" s="23" t="str">
        <f aca="false">IF(A347="","",B347-E347)</f>
        <v/>
      </c>
    </row>
    <row r="348" customFormat="false" ht="15" hidden="false" customHeight="false" outlineLevel="0" collapsed="false">
      <c r="A348" s="22" t="str">
        <f aca="false">IF(A347="","",IF(A347+1&lt;=$B$9,A347+1,""))</f>
        <v/>
      </c>
      <c r="B348" s="23" t="str">
        <f aca="false">IF(A348="","",F347)</f>
        <v/>
      </c>
      <c r="C348" s="23" t="str">
        <f aca="false">IF(A348="","",$B$10)</f>
        <v/>
      </c>
      <c r="D348" s="23" t="str">
        <f aca="false">IF(A348="","",B348*$B$8)</f>
        <v/>
      </c>
      <c r="E348" s="23" t="str">
        <f aca="false">IF(A348="","",C348-D348)</f>
        <v/>
      </c>
      <c r="F348" s="23" t="str">
        <f aca="false">IF(A348="","",B348-E348)</f>
        <v/>
      </c>
    </row>
    <row r="349" customFormat="false" ht="15" hidden="false" customHeight="false" outlineLevel="0" collapsed="false">
      <c r="A349" s="22" t="str">
        <f aca="false">IF(A348="","",IF(A348+1&lt;=$B$9,A348+1,""))</f>
        <v/>
      </c>
      <c r="B349" s="23" t="str">
        <f aca="false">IF(A349="","",F348)</f>
        <v/>
      </c>
      <c r="C349" s="23" t="str">
        <f aca="false">IF(A349="","",$B$10)</f>
        <v/>
      </c>
      <c r="D349" s="23" t="str">
        <f aca="false">IF(A349="","",B349*$B$8)</f>
        <v/>
      </c>
      <c r="E349" s="23" t="str">
        <f aca="false">IF(A349="","",C349-D349)</f>
        <v/>
      </c>
      <c r="F349" s="23" t="str">
        <f aca="false">IF(A349="","",B349-E349)</f>
        <v/>
      </c>
    </row>
    <row r="350" customFormat="false" ht="15" hidden="false" customHeight="false" outlineLevel="0" collapsed="false">
      <c r="A350" s="22" t="str">
        <f aca="false">IF(A349="","",IF(A349+1&lt;=$B$9,A349+1,""))</f>
        <v/>
      </c>
      <c r="B350" s="23" t="str">
        <f aca="false">IF(A350="","",F349)</f>
        <v/>
      </c>
      <c r="C350" s="23" t="str">
        <f aca="false">IF(A350="","",$B$10)</f>
        <v/>
      </c>
      <c r="D350" s="23" t="str">
        <f aca="false">IF(A350="","",B350*$B$8)</f>
        <v/>
      </c>
      <c r="E350" s="23" t="str">
        <f aca="false">IF(A350="","",C350-D350)</f>
        <v/>
      </c>
      <c r="F350" s="23" t="str">
        <f aca="false">IF(A350="","",B350-E350)</f>
        <v/>
      </c>
    </row>
    <row r="351" customFormat="false" ht="15" hidden="false" customHeight="false" outlineLevel="0" collapsed="false">
      <c r="A351" s="22" t="str">
        <f aca="false">IF(A350="","",IF(A350+1&lt;=$B$9,A350+1,""))</f>
        <v/>
      </c>
      <c r="B351" s="23" t="str">
        <f aca="false">IF(A351="","",F350)</f>
        <v/>
      </c>
      <c r="C351" s="23" t="str">
        <f aca="false">IF(A351="","",$B$10)</f>
        <v/>
      </c>
      <c r="D351" s="23" t="str">
        <f aca="false">IF(A351="","",B351*$B$8)</f>
        <v/>
      </c>
      <c r="E351" s="23" t="str">
        <f aca="false">IF(A351="","",C351-D351)</f>
        <v/>
      </c>
      <c r="F351" s="23" t="str">
        <f aca="false">IF(A351="","",B351-E351)</f>
        <v/>
      </c>
    </row>
    <row r="352" customFormat="false" ht="15" hidden="false" customHeight="false" outlineLevel="0" collapsed="false">
      <c r="A352" s="22" t="str">
        <f aca="false">IF(A351="","",IF(A351+1&lt;=$B$9,A351+1,""))</f>
        <v/>
      </c>
      <c r="B352" s="23" t="str">
        <f aca="false">IF(A352="","",F351)</f>
        <v/>
      </c>
      <c r="C352" s="23" t="str">
        <f aca="false">IF(A352="","",$B$10)</f>
        <v/>
      </c>
      <c r="D352" s="23" t="str">
        <f aca="false">IF(A352="","",B352*$B$8)</f>
        <v/>
      </c>
      <c r="E352" s="23" t="str">
        <f aca="false">IF(A352="","",C352-D352)</f>
        <v/>
      </c>
      <c r="F352" s="23" t="str">
        <f aca="false">IF(A352="","",B352-E352)</f>
        <v/>
      </c>
    </row>
    <row r="353" customFormat="false" ht="15" hidden="false" customHeight="false" outlineLevel="0" collapsed="false">
      <c r="A353" s="22" t="str">
        <f aca="false">IF(A352="","",IF(A352+1&lt;=$B$9,A352+1,""))</f>
        <v/>
      </c>
      <c r="B353" s="23" t="str">
        <f aca="false">IF(A353="","",F352)</f>
        <v/>
      </c>
      <c r="C353" s="23" t="str">
        <f aca="false">IF(A353="","",$B$10)</f>
        <v/>
      </c>
      <c r="D353" s="23" t="str">
        <f aca="false">IF(A353="","",B353*$B$8)</f>
        <v/>
      </c>
      <c r="E353" s="23" t="str">
        <f aca="false">IF(A353="","",C353-D353)</f>
        <v/>
      </c>
      <c r="F353" s="23" t="str">
        <f aca="false">IF(A353="","",B353-E353)</f>
        <v/>
      </c>
    </row>
    <row r="354" customFormat="false" ht="15" hidden="false" customHeight="false" outlineLevel="0" collapsed="false">
      <c r="A354" s="22" t="str">
        <f aca="false">IF(A353="","",IF(A353+1&lt;=$B$9,A353+1,""))</f>
        <v/>
      </c>
      <c r="B354" s="23" t="str">
        <f aca="false">IF(A354="","",F353)</f>
        <v/>
      </c>
      <c r="C354" s="23" t="str">
        <f aca="false">IF(A354="","",$B$10)</f>
        <v/>
      </c>
      <c r="D354" s="23" t="str">
        <f aca="false">IF(A354="","",B354*$B$8)</f>
        <v/>
      </c>
      <c r="E354" s="23" t="str">
        <f aca="false">IF(A354="","",C354-D354)</f>
        <v/>
      </c>
      <c r="F354" s="23" t="str">
        <f aca="false">IF(A354="","",B354-E354)</f>
        <v/>
      </c>
    </row>
    <row r="355" customFormat="false" ht="15" hidden="false" customHeight="false" outlineLevel="0" collapsed="false">
      <c r="A355" s="22" t="str">
        <f aca="false">IF(A354="","",IF(A354+1&lt;=$B$9,A354+1,""))</f>
        <v/>
      </c>
      <c r="B355" s="23" t="str">
        <f aca="false">IF(A355="","",F354)</f>
        <v/>
      </c>
      <c r="C355" s="23" t="str">
        <f aca="false">IF(A355="","",$B$10)</f>
        <v/>
      </c>
      <c r="D355" s="23" t="str">
        <f aca="false">IF(A355="","",B355*$B$8)</f>
        <v/>
      </c>
      <c r="E355" s="23" t="str">
        <f aca="false">IF(A355="","",C355-D355)</f>
        <v/>
      </c>
      <c r="F355" s="23" t="str">
        <f aca="false">IF(A355="","",B355-E355)</f>
        <v/>
      </c>
    </row>
    <row r="356" customFormat="false" ht="15" hidden="false" customHeight="false" outlineLevel="0" collapsed="false">
      <c r="A356" s="22" t="str">
        <f aca="false">IF(A355="","",IF(A355+1&lt;=$B$9,A355+1,""))</f>
        <v/>
      </c>
      <c r="B356" s="23" t="str">
        <f aca="false">IF(A356="","",F355)</f>
        <v/>
      </c>
      <c r="C356" s="23" t="str">
        <f aca="false">IF(A356="","",$B$10)</f>
        <v/>
      </c>
      <c r="D356" s="23" t="str">
        <f aca="false">IF(A356="","",B356*$B$8)</f>
        <v/>
      </c>
      <c r="E356" s="23" t="str">
        <f aca="false">IF(A356="","",C356-D356)</f>
        <v/>
      </c>
      <c r="F356" s="23" t="str">
        <f aca="false">IF(A356="","",B356-E356)</f>
        <v/>
      </c>
    </row>
    <row r="357" customFormat="false" ht="15" hidden="false" customHeight="false" outlineLevel="0" collapsed="false">
      <c r="A357" s="22" t="str">
        <f aca="false">IF(A356="","",IF(A356+1&lt;=$B$9,A356+1,""))</f>
        <v/>
      </c>
      <c r="B357" s="23" t="str">
        <f aca="false">IF(A357="","",F356)</f>
        <v/>
      </c>
      <c r="C357" s="23" t="str">
        <f aca="false">IF(A357="","",$B$10)</f>
        <v/>
      </c>
      <c r="D357" s="23" t="str">
        <f aca="false">IF(A357="","",B357*$B$8)</f>
        <v/>
      </c>
      <c r="E357" s="23" t="str">
        <f aca="false">IF(A357="","",C357-D357)</f>
        <v/>
      </c>
      <c r="F357" s="23" t="str">
        <f aca="false">IF(A357="","",B357-E357)</f>
        <v/>
      </c>
    </row>
    <row r="358" customFormat="false" ht="15" hidden="false" customHeight="false" outlineLevel="0" collapsed="false">
      <c r="A358" s="22" t="str">
        <f aca="false">IF(A357="","",IF(A357+1&lt;=$B$9,A357+1,""))</f>
        <v/>
      </c>
      <c r="B358" s="23" t="str">
        <f aca="false">IF(A358="","",F357)</f>
        <v/>
      </c>
      <c r="C358" s="23" t="str">
        <f aca="false">IF(A358="","",$B$10)</f>
        <v/>
      </c>
      <c r="D358" s="23" t="str">
        <f aca="false">IF(A358="","",B358*$B$8)</f>
        <v/>
      </c>
      <c r="E358" s="23" t="str">
        <f aca="false">IF(A358="","",C358-D358)</f>
        <v/>
      </c>
      <c r="F358" s="23" t="str">
        <f aca="false">IF(A358="","",B358-E358)</f>
        <v/>
      </c>
    </row>
    <row r="359" customFormat="false" ht="15" hidden="false" customHeight="false" outlineLevel="0" collapsed="false">
      <c r="A359" s="22" t="str">
        <f aca="false">IF(A358="","",IF(A358+1&lt;=$B$9,A358+1,""))</f>
        <v/>
      </c>
      <c r="B359" s="23" t="str">
        <f aca="false">IF(A359="","",F358)</f>
        <v/>
      </c>
      <c r="C359" s="23" t="str">
        <f aca="false">IF(A359="","",$B$10)</f>
        <v/>
      </c>
      <c r="D359" s="23" t="str">
        <f aca="false">IF(A359="","",B359*$B$8)</f>
        <v/>
      </c>
      <c r="E359" s="23" t="str">
        <f aca="false">IF(A359="","",C359-D359)</f>
        <v/>
      </c>
      <c r="F359" s="23" t="str">
        <f aca="false">IF(A359="","",B359-E359)</f>
        <v/>
      </c>
    </row>
    <row r="360" customFormat="false" ht="15" hidden="false" customHeight="false" outlineLevel="0" collapsed="false">
      <c r="A360" s="22" t="str">
        <f aca="false">IF(A359="","",IF(A359+1&lt;=$B$9,A359+1,""))</f>
        <v/>
      </c>
      <c r="B360" s="23" t="str">
        <f aca="false">IF(A360="","",F359)</f>
        <v/>
      </c>
      <c r="C360" s="23" t="str">
        <f aca="false">IF(A360="","",$B$10)</f>
        <v/>
      </c>
      <c r="D360" s="23" t="str">
        <f aca="false">IF(A360="","",B360*$B$8)</f>
        <v/>
      </c>
      <c r="E360" s="23" t="str">
        <f aca="false">IF(A360="","",C360-D360)</f>
        <v/>
      </c>
      <c r="F360" s="23" t="str">
        <f aca="false">IF(A360="","",B360-E360)</f>
        <v/>
      </c>
    </row>
    <row r="361" customFormat="false" ht="15" hidden="false" customHeight="false" outlineLevel="0" collapsed="false">
      <c r="A361" s="22" t="str">
        <f aca="false">IF(A360="","",IF(A360+1&lt;=$B$9,A360+1,""))</f>
        <v/>
      </c>
      <c r="B361" s="23" t="str">
        <f aca="false">IF(A361="","",F360)</f>
        <v/>
      </c>
      <c r="C361" s="23" t="str">
        <f aca="false">IF(A361="","",$B$10)</f>
        <v/>
      </c>
      <c r="D361" s="23" t="str">
        <f aca="false">IF(A361="","",B361*$B$8)</f>
        <v/>
      </c>
      <c r="E361" s="23" t="str">
        <f aca="false">IF(A361="","",C361-D361)</f>
        <v/>
      </c>
      <c r="F361" s="23" t="str">
        <f aca="false">IF(A361="","",B361-E361)</f>
        <v/>
      </c>
    </row>
    <row r="362" customFormat="false" ht="15" hidden="false" customHeight="false" outlineLevel="0" collapsed="false">
      <c r="A362" s="22" t="str">
        <f aca="false">IF(A361="","",IF(A361+1&lt;=$B$9,A361+1,""))</f>
        <v/>
      </c>
      <c r="B362" s="23" t="str">
        <f aca="false">IF(A362="","",F361)</f>
        <v/>
      </c>
      <c r="C362" s="23" t="str">
        <f aca="false">IF(A362="","",$B$10)</f>
        <v/>
      </c>
      <c r="D362" s="23" t="str">
        <f aca="false">IF(A362="","",B362*$B$8)</f>
        <v/>
      </c>
      <c r="E362" s="23" t="str">
        <f aca="false">IF(A362="","",C362-D362)</f>
        <v/>
      </c>
      <c r="F362" s="23" t="str">
        <f aca="false">IF(A362="","",B362-E362)</f>
        <v/>
      </c>
    </row>
    <row r="363" customFormat="false" ht="15" hidden="false" customHeight="false" outlineLevel="0" collapsed="false">
      <c r="A363" s="22" t="str">
        <f aca="false">IF(A362="","",IF(A362+1&lt;=$B$9,A362+1,""))</f>
        <v/>
      </c>
      <c r="B363" s="23" t="str">
        <f aca="false">IF(A363="","",F362)</f>
        <v/>
      </c>
      <c r="C363" s="23" t="str">
        <f aca="false">IF(A363="","",$B$10)</f>
        <v/>
      </c>
      <c r="D363" s="23" t="str">
        <f aca="false">IF(A363="","",B363*$B$8)</f>
        <v/>
      </c>
      <c r="E363" s="23" t="str">
        <f aca="false">IF(A363="","",C363-D363)</f>
        <v/>
      </c>
      <c r="F363" s="23" t="str">
        <f aca="false">IF(A363="","",B363-E363)</f>
        <v/>
      </c>
    </row>
    <row r="364" customFormat="false" ht="15" hidden="false" customHeight="false" outlineLevel="0" collapsed="false">
      <c r="A364" s="22" t="str">
        <f aca="false">IF(A363="","",IF(A363+1&lt;=$B$9,A363+1,""))</f>
        <v/>
      </c>
      <c r="B364" s="23" t="str">
        <f aca="false">IF(A364="","",F363)</f>
        <v/>
      </c>
      <c r="C364" s="23" t="str">
        <f aca="false">IF(A364="","",$B$10)</f>
        <v/>
      </c>
      <c r="D364" s="23" t="str">
        <f aca="false">IF(A364="","",B364*$B$8)</f>
        <v/>
      </c>
      <c r="E364" s="23" t="str">
        <f aca="false">IF(A364="","",C364-D364)</f>
        <v/>
      </c>
      <c r="F364" s="23" t="str">
        <f aca="false">IF(A364="","",B364-E364)</f>
        <v/>
      </c>
    </row>
    <row r="365" customFormat="false" ht="15" hidden="false" customHeight="false" outlineLevel="0" collapsed="false">
      <c r="A365" s="22" t="str">
        <f aca="false">IF(A364="","",IF(A364+1&lt;=$B$9,A364+1,""))</f>
        <v/>
      </c>
      <c r="B365" s="23" t="str">
        <f aca="false">IF(A365="","",F364)</f>
        <v/>
      </c>
      <c r="C365" s="23" t="str">
        <f aca="false">IF(A365="","",$B$10)</f>
        <v/>
      </c>
      <c r="D365" s="23" t="str">
        <f aca="false">IF(A365="","",B365*$B$8)</f>
        <v/>
      </c>
      <c r="E365" s="23" t="str">
        <f aca="false">IF(A365="","",C365-D365)</f>
        <v/>
      </c>
      <c r="F365" s="23" t="str">
        <f aca="false">IF(A365="","",B365-E365)</f>
        <v/>
      </c>
    </row>
    <row r="366" customFormat="false" ht="15" hidden="false" customHeight="false" outlineLevel="0" collapsed="false">
      <c r="A366" s="22" t="str">
        <f aca="false">IF(A365="","",IF(A365+1&lt;=$B$9,A365+1,""))</f>
        <v/>
      </c>
      <c r="B366" s="23" t="str">
        <f aca="false">IF(A366="","",F365)</f>
        <v/>
      </c>
      <c r="C366" s="23" t="str">
        <f aca="false">IF(A366="","",$B$10)</f>
        <v/>
      </c>
      <c r="D366" s="23" t="str">
        <f aca="false">IF(A366="","",B366*$B$8)</f>
        <v/>
      </c>
      <c r="E366" s="23" t="str">
        <f aca="false">IF(A366="","",C366-D366)</f>
        <v/>
      </c>
      <c r="F366" s="23" t="str">
        <f aca="false">IF(A366="","",B366-E366)</f>
        <v/>
      </c>
    </row>
    <row r="367" customFormat="false" ht="15" hidden="false" customHeight="false" outlineLevel="0" collapsed="false">
      <c r="A367" s="22" t="str">
        <f aca="false">IF(A366="","",IF(A366+1&lt;=$B$9,A366+1,""))</f>
        <v/>
      </c>
      <c r="B367" s="23" t="str">
        <f aca="false">IF(A367="","",F366)</f>
        <v/>
      </c>
      <c r="C367" s="23" t="str">
        <f aca="false">IF(A367="","",$B$10)</f>
        <v/>
      </c>
      <c r="D367" s="23" t="str">
        <f aca="false">IF(A367="","",B367*$B$8)</f>
        <v/>
      </c>
      <c r="E367" s="23" t="str">
        <f aca="false">IF(A367="","",C367-D367)</f>
        <v/>
      </c>
      <c r="F367" s="23" t="str">
        <f aca="false">IF(A367="","",B367-E367)</f>
        <v/>
      </c>
    </row>
    <row r="368" customFormat="false" ht="15" hidden="false" customHeight="false" outlineLevel="0" collapsed="false">
      <c r="A368" s="22" t="str">
        <f aca="false">IF(A367="","",IF(A367+1&lt;=$B$9,A367+1,""))</f>
        <v/>
      </c>
      <c r="B368" s="23" t="str">
        <f aca="false">IF(A368="","",F367)</f>
        <v/>
      </c>
      <c r="C368" s="23" t="str">
        <f aca="false">IF(A368="","",$B$10)</f>
        <v/>
      </c>
      <c r="D368" s="23" t="str">
        <f aca="false">IF(A368="","",B368*$B$8)</f>
        <v/>
      </c>
      <c r="E368" s="23" t="str">
        <f aca="false">IF(A368="","",C368-D368)</f>
        <v/>
      </c>
      <c r="F368" s="23" t="str">
        <f aca="false">IF(A368="","",B368-E368)</f>
        <v/>
      </c>
    </row>
    <row r="369" customFormat="false" ht="15" hidden="false" customHeight="false" outlineLevel="0" collapsed="false">
      <c r="A369" s="22" t="str">
        <f aca="false">IF(A368="","",IF(A368+1&lt;=$B$9,A368+1,""))</f>
        <v/>
      </c>
      <c r="B369" s="23" t="str">
        <f aca="false">IF(A369="","",F368)</f>
        <v/>
      </c>
      <c r="C369" s="23" t="str">
        <f aca="false">IF(A369="","",$B$10)</f>
        <v/>
      </c>
      <c r="D369" s="23" t="str">
        <f aca="false">IF(A369="","",B369*$B$8)</f>
        <v/>
      </c>
      <c r="E369" s="23" t="str">
        <f aca="false">IF(A369="","",C369-D369)</f>
        <v/>
      </c>
      <c r="F369" s="23" t="str">
        <f aca="false">IF(A369="","",B369-E369)</f>
        <v/>
      </c>
    </row>
    <row r="370" customFormat="false" ht="15" hidden="false" customHeight="false" outlineLevel="0" collapsed="false">
      <c r="A370" s="22" t="str">
        <f aca="false">IF(A369="","",IF(A369+1&lt;=$B$9,A369+1,""))</f>
        <v/>
      </c>
      <c r="B370" s="23" t="str">
        <f aca="false">IF(A370="","",F369)</f>
        <v/>
      </c>
      <c r="C370" s="23" t="str">
        <f aca="false">IF(A370="","",$B$10)</f>
        <v/>
      </c>
      <c r="D370" s="23" t="str">
        <f aca="false">IF(A370="","",B370*$B$8)</f>
        <v/>
      </c>
      <c r="E370" s="23" t="str">
        <f aca="false">IF(A370="","",C370-D370)</f>
        <v/>
      </c>
      <c r="F370" s="23" t="str">
        <f aca="false">IF(A370="","",B370-E370)</f>
        <v/>
      </c>
    </row>
    <row r="371" customFormat="false" ht="15" hidden="false" customHeight="false" outlineLevel="0" collapsed="false">
      <c r="A371" s="22" t="str">
        <f aca="false">IF(A370="","",IF(A370+1&lt;=$B$9,A370+1,""))</f>
        <v/>
      </c>
      <c r="B371" s="23" t="str">
        <f aca="false">IF(A371="","",F370)</f>
        <v/>
      </c>
      <c r="C371" s="23" t="str">
        <f aca="false">IF(A371="","",$B$10)</f>
        <v/>
      </c>
      <c r="D371" s="23" t="str">
        <f aca="false">IF(A371="","",B371*$B$8)</f>
        <v/>
      </c>
      <c r="E371" s="23" t="str">
        <f aca="false">IF(A371="","",C371-D371)</f>
        <v/>
      </c>
      <c r="F371" s="23" t="str">
        <f aca="false">IF(A371="","",B371-E371)</f>
        <v/>
      </c>
    </row>
    <row r="372" customFormat="false" ht="15" hidden="false" customHeight="false" outlineLevel="0" collapsed="false">
      <c r="A372" s="22" t="str">
        <f aca="false">IF(A371="","",IF(A371+1&lt;=$B$9,A371+1,""))</f>
        <v/>
      </c>
      <c r="B372" s="23" t="str">
        <f aca="false">IF(A372="","",F371)</f>
        <v/>
      </c>
      <c r="C372" s="23" t="str">
        <f aca="false">IF(A372="","",$B$10)</f>
        <v/>
      </c>
      <c r="D372" s="23" t="str">
        <f aca="false">IF(A372="","",B372*$B$8)</f>
        <v/>
      </c>
      <c r="E372" s="23" t="str">
        <f aca="false">IF(A372="","",C372-D372)</f>
        <v/>
      </c>
      <c r="F372" s="23" t="str">
        <f aca="false">IF(A372="","",B372-E372)</f>
        <v/>
      </c>
    </row>
    <row r="373" customFormat="false" ht="15" hidden="false" customHeight="false" outlineLevel="0" collapsed="false">
      <c r="A373" s="22" t="str">
        <f aca="false">IF(A372="","",IF(A372+1&lt;=$B$9,A372+1,""))</f>
        <v/>
      </c>
      <c r="B373" s="23" t="str">
        <f aca="false">IF(A373="","",F372)</f>
        <v/>
      </c>
      <c r="C373" s="23" t="str">
        <f aca="false">IF(A373="","",$B$10)</f>
        <v/>
      </c>
      <c r="D373" s="23" t="str">
        <f aca="false">IF(A373="","",B373*$B$8)</f>
        <v/>
      </c>
      <c r="E373" s="23" t="str">
        <f aca="false">IF(A373="","",C373-D373)</f>
        <v/>
      </c>
      <c r="F373" s="23" t="str">
        <f aca="false">IF(A373="","",B373-E373)</f>
        <v/>
      </c>
    </row>
    <row r="374" customFormat="false" ht="15" hidden="false" customHeight="false" outlineLevel="0" collapsed="false">
      <c r="A374" s="22" t="str">
        <f aca="false">IF(A373="","",IF(A373+1&lt;=$B$9,A373+1,""))</f>
        <v/>
      </c>
      <c r="B374" s="23" t="str">
        <f aca="false">IF(A374="","",F373)</f>
        <v/>
      </c>
      <c r="C374" s="23" t="str">
        <f aca="false">IF(A374="","",$B$10)</f>
        <v/>
      </c>
      <c r="D374" s="23" t="str">
        <f aca="false">IF(A374="","",B374*$B$8)</f>
        <v/>
      </c>
      <c r="E374" s="23" t="str">
        <f aca="false">IF(A374="","",C374-D374)</f>
        <v/>
      </c>
      <c r="F374" s="23" t="str">
        <f aca="false">IF(A374="","",B374-E374)</f>
        <v/>
      </c>
    </row>
    <row r="375" customFormat="false" ht="15" hidden="false" customHeight="false" outlineLevel="0" collapsed="false">
      <c r="A375" s="22" t="str">
        <f aca="false">IF(A374="","",IF(A374+1&lt;=$B$9,A374+1,""))</f>
        <v/>
      </c>
      <c r="B375" s="23" t="str">
        <f aca="false">IF(A375="","",F374)</f>
        <v/>
      </c>
      <c r="C375" s="23" t="str">
        <f aca="false">IF(A375="","",$B$10)</f>
        <v/>
      </c>
      <c r="D375" s="23" t="str">
        <f aca="false">IF(A375="","",B375*$B$8)</f>
        <v/>
      </c>
      <c r="E375" s="23" t="str">
        <f aca="false">IF(A375="","",C375-D375)</f>
        <v/>
      </c>
      <c r="F375" s="23" t="str">
        <f aca="false">IF(A375="","",B375-E375)</f>
        <v/>
      </c>
    </row>
    <row r="376" customFormat="false" ht="15" hidden="false" customHeight="false" outlineLevel="0" collapsed="false">
      <c r="A376" s="22" t="str">
        <f aca="false">IF(A375="","",IF(A375+1&lt;=$B$9,A375+1,""))</f>
        <v/>
      </c>
      <c r="B376" s="23" t="str">
        <f aca="false">IF(A376="","",F375)</f>
        <v/>
      </c>
      <c r="C376" s="23" t="str">
        <f aca="false">IF(A376="","",$B$10)</f>
        <v/>
      </c>
      <c r="D376" s="23" t="str">
        <f aca="false">IF(A376="","",B376*$B$8)</f>
        <v/>
      </c>
      <c r="E376" s="23" t="str">
        <f aca="false">IF(A376="","",C376-D376)</f>
        <v/>
      </c>
      <c r="F376" s="23" t="str">
        <f aca="false">IF(A376="","",B376-E376)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A3" s="11" t="s">
        <v>26</v>
      </c>
      <c r="B3" s="11" t="s">
        <v>27</v>
      </c>
    </row>
    <row r="4" customFormat="false" ht="15" hidden="false" customHeight="false" outlineLevel="0" collapsed="false">
      <c r="A4" s="7" t="s">
        <v>51</v>
      </c>
      <c r="B4" s="12" t="n">
        <v>10000</v>
      </c>
    </row>
    <row r="5" customFormat="false" ht="15" hidden="false" customHeight="false" outlineLevel="0" collapsed="false">
      <c r="A5" s="7" t="s">
        <v>52</v>
      </c>
      <c r="B5" s="15" t="n">
        <v>0.12</v>
      </c>
    </row>
    <row r="6" customFormat="false" ht="15" hidden="false" customHeight="false" outlineLevel="0" collapsed="false">
      <c r="A6" s="7" t="s">
        <v>53</v>
      </c>
      <c r="B6" s="16" t="n">
        <v>15</v>
      </c>
    </row>
    <row r="7" customFormat="false" ht="15" hidden="false" customHeight="false" outlineLevel="0" collapsed="false">
      <c r="A7" s="7" t="s">
        <v>54</v>
      </c>
      <c r="B7" s="15" t="n">
        <v>0.1</v>
      </c>
    </row>
    <row r="8" customFormat="false" ht="15" hidden="false" customHeight="false" outlineLevel="0" collapsed="false">
      <c r="A8" s="11" t="s">
        <v>35</v>
      </c>
      <c r="B8" s="11" t="s">
        <v>27</v>
      </c>
    </row>
    <row r="9" customFormat="false" ht="15" hidden="false" customHeight="false" outlineLevel="0" collapsed="false">
      <c r="A9" s="7" t="s">
        <v>55</v>
      </c>
      <c r="B9" s="17" t="n">
        <f aca="false">(1+B5)^(1/12)-1</f>
        <v>0.00948879293458305</v>
      </c>
    </row>
    <row r="10" customFormat="false" ht="15" hidden="false" customHeight="false" outlineLevel="0" collapsed="false">
      <c r="A10" s="7" t="s">
        <v>56</v>
      </c>
      <c r="B10" s="18" t="n">
        <f aca="false">MIN(B6,30)</f>
        <v>15</v>
      </c>
    </row>
    <row r="11" customFormat="false" ht="15" hidden="false" customHeight="false" outlineLevel="0" collapsed="false">
      <c r="A11" s="7" t="s">
        <v>57</v>
      </c>
      <c r="B11" s="14" t="n">
        <f aca="false">SUM(C16:C45)</f>
        <v>3812697.80329878</v>
      </c>
    </row>
    <row r="12" customFormat="false" ht="15" hidden="false" customHeight="false" outlineLevel="0" collapsed="false">
      <c r="A12" s="7" t="s">
        <v>58</v>
      </c>
      <c r="B12" s="19" t="n">
        <f aca="false">IF(B10&lt;1,0,INDEX(F16:F45,B10))</f>
        <v>8274717.89963581</v>
      </c>
    </row>
    <row r="13" customFormat="false" ht="15" hidden="false" customHeight="false" outlineLevel="0" collapsed="false">
      <c r="A13" s="7" t="s">
        <v>59</v>
      </c>
      <c r="B13" s="14" t="n">
        <f aca="false">B12-B11</f>
        <v>4462020.09633703</v>
      </c>
    </row>
    <row r="14" customFormat="false" ht="15" hidden="false" customHeight="false" outlineLevel="0" collapsed="false">
      <c r="A14" s="7" t="s">
        <v>60</v>
      </c>
      <c r="B14" s="24" t="n">
        <f aca="false">IF(B11=0,0,B12/B11)</f>
        <v>2.17030520815902</v>
      </c>
    </row>
    <row r="15" customFormat="false" ht="23.85" hidden="false" customHeight="false" outlineLevel="0" collapsed="false">
      <c r="A15" s="11" t="s">
        <v>28</v>
      </c>
      <c r="B15" s="11" t="s">
        <v>61</v>
      </c>
      <c r="C15" s="11" t="s">
        <v>62</v>
      </c>
      <c r="D15" s="11" t="s">
        <v>63</v>
      </c>
      <c r="E15" s="11" t="s">
        <v>64</v>
      </c>
      <c r="F15" s="11" t="s">
        <v>65</v>
      </c>
    </row>
    <row r="16" customFormat="false" ht="15" hidden="false" customHeight="false" outlineLevel="0" collapsed="false">
      <c r="A16" s="13" t="n">
        <v>1</v>
      </c>
      <c r="B16" s="14" t="n">
        <f aca="false">IF(A16&gt;$B$10,0,$B$4*(1+$B$7)^(A16-1))</f>
        <v>10000</v>
      </c>
      <c r="C16" s="14" t="n">
        <f aca="false">B16*12</f>
        <v>120000</v>
      </c>
      <c r="D16" s="14" t="n">
        <f aca="false">0</f>
        <v>0</v>
      </c>
      <c r="E16" s="14" t="n">
        <f aca="false">F16-D16-C16</f>
        <v>7664.9790835319</v>
      </c>
      <c r="F16" s="14" t="n">
        <f aca="false">IF(A16&gt;$B$10,0,D16*(1+$B$9)^12+IF($B$9=0,B16*12,B16*(((1+$B$9)^12-1)/$B$9)*(1+$B$9)))</f>
        <v>127664.979083532</v>
      </c>
    </row>
    <row r="17" customFormat="false" ht="15" hidden="false" customHeight="false" outlineLevel="0" collapsed="false">
      <c r="A17" s="13" t="n">
        <v>2</v>
      </c>
      <c r="B17" s="14" t="n">
        <f aca="false">IF(A17&gt;$B$10,0,$B$4*(1+$B$7)^(A17-1))</f>
        <v>11000</v>
      </c>
      <c r="C17" s="14" t="n">
        <f aca="false">B17*12</f>
        <v>132000</v>
      </c>
      <c r="D17" s="14" t="n">
        <f aca="false">F16</f>
        <v>127664.979083532</v>
      </c>
      <c r="E17" s="14" t="n">
        <f aca="false">F17-D17-C17</f>
        <v>23751.2744819091</v>
      </c>
      <c r="F17" s="14" t="n">
        <f aca="false">IF(A17&gt;$B$10,0,D17*(1+$B$9)^12+IF($B$9=0,B17*12,B17*(((1+$B$9)^12-1)/$B$9)*(1+$B$9)))</f>
        <v>283416.253565441</v>
      </c>
    </row>
    <row r="18" customFormat="false" ht="15" hidden="false" customHeight="false" outlineLevel="0" collapsed="false">
      <c r="A18" s="13" t="n">
        <v>3</v>
      </c>
      <c r="B18" s="14" t="n">
        <f aca="false">IF(A18&gt;$B$10,0,$B$4*(1+$B$7)^(A18-1))</f>
        <v>12100</v>
      </c>
      <c r="C18" s="14" t="n">
        <f aca="false">B18*12</f>
        <v>145200</v>
      </c>
      <c r="D18" s="14" t="n">
        <f aca="false">F17</f>
        <v>283416.253565441</v>
      </c>
      <c r="E18" s="14" t="n">
        <f aca="false">F18-D18-C18</f>
        <v>43284.5751189268</v>
      </c>
      <c r="F18" s="14" t="n">
        <f aca="false">IF(A18&gt;$B$10,0,D18*(1+$B$9)^12+IF($B$9=0,B18*12,B18*(((1+$B$9)^12-1)/$B$9)*(1+$B$9)))</f>
        <v>471900.828684368</v>
      </c>
    </row>
    <row r="19" customFormat="false" ht="15" hidden="false" customHeight="false" outlineLevel="0" collapsed="false">
      <c r="A19" s="13" t="n">
        <v>4</v>
      </c>
      <c r="B19" s="14" t="n">
        <f aca="false">IF(A19&gt;$B$10,0,$B$4*(1+$B$7)^(A19-1))</f>
        <v>13310</v>
      </c>
      <c r="C19" s="14" t="n">
        <f aca="false">B19*12</f>
        <v>159720</v>
      </c>
      <c r="D19" s="14" t="n">
        <f aca="false">F18</f>
        <v>471900.828684368</v>
      </c>
      <c r="E19" s="14" t="n">
        <f aca="false">F19-D19-C19</f>
        <v>66830.1866023056</v>
      </c>
      <c r="F19" s="14" t="n">
        <f aca="false">IF(A19&gt;$B$10,0,D19*(1+$B$9)^12+IF($B$9=0,B19*12,B19*(((1+$B$9)^12-1)/$B$9)*(1+$B$9)))</f>
        <v>698451.015286673</v>
      </c>
    </row>
    <row r="20" customFormat="false" ht="15" hidden="false" customHeight="false" outlineLevel="0" collapsed="false">
      <c r="A20" s="13" t="n">
        <v>5</v>
      </c>
      <c r="B20" s="14" t="n">
        <f aca="false">IF(A20&gt;$B$10,0,$B$4*(1+$B$7)^(A20-1))</f>
        <v>14641</v>
      </c>
      <c r="C20" s="14" t="n">
        <f aca="false">B20*12</f>
        <v>175692</v>
      </c>
      <c r="D20" s="14" t="n">
        <f aca="false">F19</f>
        <v>698451.015286673</v>
      </c>
      <c r="E20" s="14" t="n">
        <f aca="false">F20-D20-C20</f>
        <v>95036.4177106005</v>
      </c>
      <c r="F20" s="14" t="n">
        <f aca="false">IF(A20&gt;$B$10,0,D20*(1+$B$9)^12+IF($B$9=0,B20*12,B20*(((1+$B$9)^12-1)/$B$9)*(1+$B$9)))</f>
        <v>969179.432997274</v>
      </c>
    </row>
    <row r="21" customFormat="false" ht="15" hidden="false" customHeight="false" outlineLevel="0" collapsed="false">
      <c r="A21" s="13" t="n">
        <v>6</v>
      </c>
      <c r="B21" s="14" t="n">
        <f aca="false">IF(A21&gt;$B$10,0,$B$4*(1+$B$7)^(A21-1))</f>
        <v>16105.1</v>
      </c>
      <c r="C21" s="14" t="n">
        <f aca="false">B21*12</f>
        <v>193261.2</v>
      </c>
      <c r="D21" s="14" t="n">
        <f aca="false">F20</f>
        <v>969179.432997274</v>
      </c>
      <c r="E21" s="14" t="n">
        <f aca="false">F21-D21-C21</f>
        <v>128646.057423493</v>
      </c>
      <c r="F21" s="14" t="n">
        <f aca="false">IF(A21&gt;$B$10,0,D21*(1+$B$9)^12+IF($B$9=0,B21*12,B21*(((1+$B$9)^12-1)/$B$9)*(1+$B$9)))</f>
        <v>1291086.69042077</v>
      </c>
    </row>
    <row r="22" customFormat="false" ht="15" hidden="false" customHeight="false" outlineLevel="0" collapsed="false">
      <c r="A22" s="13" t="n">
        <v>7</v>
      </c>
      <c r="B22" s="14" t="n">
        <f aca="false">IF(A22&gt;$B$10,0,$B$4*(1+$B$7)^(A22-1))</f>
        <v>17715.61</v>
      </c>
      <c r="C22" s="14" t="n">
        <f aca="false">B22*12</f>
        <v>212587.32</v>
      </c>
      <c r="D22" s="14" t="n">
        <f aca="false">F21</f>
        <v>1291086.69042077</v>
      </c>
      <c r="E22" s="14" t="n">
        <f aca="false">F22-D22-C22</f>
        <v>168509.380860694</v>
      </c>
      <c r="F22" s="14" t="n">
        <f aca="false">IF(A22&gt;$B$10,0,D22*(1+$B$9)^12+IF($B$9=0,B22*12,B22*(((1+$B$9)^12-1)/$B$9)*(1+$B$9)))</f>
        <v>1672183.39128146</v>
      </c>
    </row>
    <row r="23" customFormat="false" ht="15" hidden="false" customHeight="false" outlineLevel="0" collapsed="false">
      <c r="A23" s="13" t="n">
        <v>8</v>
      </c>
      <c r="B23" s="14" t="n">
        <f aca="false">IF(A23&gt;$B$10,0,$B$4*(1+$B$7)^(A23-1))</f>
        <v>19487.171</v>
      </c>
      <c r="C23" s="14" t="n">
        <f aca="false">B23*12</f>
        <v>233846.052</v>
      </c>
      <c r="D23" s="14" t="n">
        <f aca="false">F22</f>
        <v>1672183.39128146</v>
      </c>
      <c r="E23" s="14" t="n">
        <f aca="false">F23-D23-C23</f>
        <v>215598.882764998</v>
      </c>
      <c r="F23" s="14" t="n">
        <f aca="false">IF(A23&gt;$B$10,0,D23*(1+$B$9)^12+IF($B$9=0,B23*12,B23*(((1+$B$9)^12-1)/$B$9)*(1+$B$9)))</f>
        <v>2121628.32604646</v>
      </c>
    </row>
    <row r="24" customFormat="false" ht="15" hidden="false" customHeight="false" outlineLevel="0" collapsed="false">
      <c r="A24" s="13" t="n">
        <v>9</v>
      </c>
      <c r="B24" s="14" t="n">
        <f aca="false">IF(A24&gt;$B$10,0,$B$4*(1+$B$7)^(A24-1))</f>
        <v>21435.8881</v>
      </c>
      <c r="C24" s="14" t="n">
        <f aca="false">B24*12</f>
        <v>257230.6572</v>
      </c>
      <c r="D24" s="14" t="n">
        <f aca="false">F23</f>
        <v>2121628.32604646</v>
      </c>
      <c r="E24" s="14" t="n">
        <f aca="false">F24-D24-C24</f>
        <v>271025.962517921</v>
      </c>
      <c r="F24" s="14" t="n">
        <f aca="false">IF(A24&gt;$B$10,0,D24*(1+$B$9)^12+IF($B$9=0,B24*12,B24*(((1+$B$9)^12-1)/$B$9)*(1+$B$9)))</f>
        <v>2649884.94576438</v>
      </c>
    </row>
    <row r="25" customFormat="false" ht="15" hidden="false" customHeight="false" outlineLevel="0" collapsed="false">
      <c r="A25" s="13" t="n">
        <v>10</v>
      </c>
      <c r="B25" s="14" t="n">
        <f aca="false">IF(A25&gt;$B$10,0,$B$4*(1+$B$7)^(A25-1))</f>
        <v>23579.47691</v>
      </c>
      <c r="C25" s="14" t="n">
        <f aca="false">B25*12</f>
        <v>282953.72292</v>
      </c>
      <c r="D25" s="14" t="n">
        <f aca="false">F24</f>
        <v>2649884.94576438</v>
      </c>
      <c r="E25" s="14" t="n">
        <f aca="false">F25-D25-C25</f>
        <v>336059.813223306</v>
      </c>
      <c r="F25" s="14" t="n">
        <f aca="false">IF(A25&gt;$B$10,0,D25*(1+$B$9)^12+IF($B$9=0,B25*12,B25*(((1+$B$9)^12-1)/$B$9)*(1+$B$9)))</f>
        <v>3268898.48190769</v>
      </c>
    </row>
    <row r="26" customFormat="false" ht="15" hidden="false" customHeight="false" outlineLevel="0" collapsed="false">
      <c r="A26" s="13" t="n">
        <v>11</v>
      </c>
      <c r="B26" s="14" t="n">
        <f aca="false">IF(A26&gt;$B$10,0,$B$4*(1+$B$7)^(A26-1))</f>
        <v>25937.424601</v>
      </c>
      <c r="C26" s="14" t="n">
        <f aca="false">B26*12</f>
        <v>311249.095212</v>
      </c>
      <c r="D26" s="14" t="n">
        <f aca="false">F25</f>
        <v>3268898.48190769</v>
      </c>
      <c r="E26" s="14" t="n">
        <f aca="false">F26-D26-C26</f>
        <v>412148.79953366</v>
      </c>
      <c r="F26" s="14" t="n">
        <f aca="false">IF(A26&gt;$B$10,0,D26*(1+$B$9)^12+IF($B$9=0,B26*12,B26*(((1+$B$9)^12-1)/$B$9)*(1+$B$9)))</f>
        <v>3992296.37665335</v>
      </c>
    </row>
    <row r="27" customFormat="false" ht="15" hidden="false" customHeight="false" outlineLevel="0" collapsed="false">
      <c r="A27" s="13" t="n">
        <v>12</v>
      </c>
      <c r="B27" s="14" t="n">
        <f aca="false">IF(A27&gt;$B$10,0,$B$4*(1+$B$7)^(A27-1))</f>
        <v>28531.1670611</v>
      </c>
      <c r="C27" s="14" t="n">
        <f aca="false">B27*12</f>
        <v>342374.0047332</v>
      </c>
      <c r="D27" s="14" t="n">
        <f aca="false">F26</f>
        <v>3992296.37665335</v>
      </c>
      <c r="E27" s="14" t="n">
        <f aca="false">F27-D27-C27</f>
        <v>500944.645073614</v>
      </c>
      <c r="F27" s="14" t="n">
        <f aca="false">IF(A27&gt;$B$10,0,D27*(1+$B$9)^12+IF($B$9=0,B27*12,B27*(((1+$B$9)^12-1)/$B$9)*(1+$B$9)))</f>
        <v>4835615.02646016</v>
      </c>
    </row>
    <row r="28" customFormat="false" ht="15" hidden="false" customHeight="false" outlineLevel="0" collapsed="false">
      <c r="A28" s="13" t="n">
        <v>13</v>
      </c>
      <c r="B28" s="14" t="n">
        <f aca="false">IF(A28&gt;$B$10,0,$B$4*(1+$B$7)^(A28-1))</f>
        <v>31384.28376721</v>
      </c>
      <c r="C28" s="14" t="n">
        <f aca="false">B28*12</f>
        <v>376611.40520652</v>
      </c>
      <c r="D28" s="14" t="n">
        <f aca="false">F27</f>
        <v>4835615.02646016</v>
      </c>
      <c r="E28" s="14" t="n">
        <f aca="false">F28-D28-C28</f>
        <v>604329.791037953</v>
      </c>
      <c r="F28" s="14" t="n">
        <f aca="false">IF(A28&gt;$B$10,0,D28*(1+$B$9)^12+IF($B$9=0,B28*12,B28*(((1+$B$9)^12-1)/$B$9)*(1+$B$9)))</f>
        <v>5816556.22270463</v>
      </c>
    </row>
    <row r="29" customFormat="false" ht="15" hidden="false" customHeight="false" outlineLevel="0" collapsed="false">
      <c r="A29" s="13" t="n">
        <v>14</v>
      </c>
      <c r="B29" s="14" t="n">
        <f aca="false">IF(A29&gt;$B$10,0,$B$4*(1+$B$7)^(A29-1))</f>
        <v>34522.712143931</v>
      </c>
      <c r="C29" s="14" t="n">
        <f aca="false">B29*12</f>
        <v>414272.545727172</v>
      </c>
      <c r="D29" s="14" t="n">
        <f aca="false">F28</f>
        <v>5816556.22270463</v>
      </c>
      <c r="E29" s="14" t="n">
        <f aca="false">F29-D29-C29</f>
        <v>724448.333373564</v>
      </c>
      <c r="F29" s="14" t="n">
        <f aca="false">IF(A29&gt;$B$10,0,D29*(1+$B$9)^12+IF($B$9=0,B29*12,B29*(((1+$B$9)^12-1)/$B$9)*(1+$B$9)))</f>
        <v>6955277.10180537</v>
      </c>
    </row>
    <row r="30" customFormat="false" ht="15" hidden="false" customHeight="false" outlineLevel="0" collapsed="false">
      <c r="A30" s="13" t="n">
        <v>15</v>
      </c>
      <c r="B30" s="14" t="n">
        <f aca="false">IF(A30&gt;$B$10,0,$B$4*(1+$B$7)^(A30-1))</f>
        <v>37974.9833583241</v>
      </c>
      <c r="C30" s="14" t="n">
        <f aca="false">B30*12</f>
        <v>455699.80029989</v>
      </c>
      <c r="D30" s="14" t="n">
        <f aca="false">F29</f>
        <v>6955277.10180537</v>
      </c>
      <c r="E30" s="14" t="n">
        <f aca="false">F30-D30-C30</f>
        <v>863740.997530554</v>
      </c>
      <c r="F30" s="14" t="n">
        <f aca="false">IF(A30&gt;$B$10,0,D30*(1+$B$9)^12+IF($B$9=0,B30*12,B30*(((1+$B$9)^12-1)/$B$9)*(1+$B$9)))</f>
        <v>8274717.89963581</v>
      </c>
    </row>
    <row r="31" customFormat="false" ht="15" hidden="false" customHeight="false" outlineLevel="0" collapsed="false">
      <c r="A31" s="13" t="n">
        <v>16</v>
      </c>
      <c r="B31" s="14" t="n">
        <f aca="false">IF(A31&gt;$B$10,0,$B$4*(1+$B$7)^(A31-1))</f>
        <v>0</v>
      </c>
      <c r="C31" s="14" t="n">
        <f aca="false">B31*12</f>
        <v>0</v>
      </c>
      <c r="D31" s="14" t="n">
        <f aca="false">F30</f>
        <v>8274717.89963581</v>
      </c>
      <c r="E31" s="14" t="n">
        <f aca="false">F31-D31-C31</f>
        <v>-8274717.89963581</v>
      </c>
      <c r="F31" s="14" t="n">
        <f aca="false">IF(A31&gt;$B$10,0,D31*(1+$B$9)^12+IF($B$9=0,B31*12,B31*(((1+$B$9)^12-1)/$B$9)*(1+$B$9)))</f>
        <v>0</v>
      </c>
    </row>
    <row r="32" customFormat="false" ht="15" hidden="false" customHeight="false" outlineLevel="0" collapsed="false">
      <c r="A32" s="13" t="n">
        <v>17</v>
      </c>
      <c r="B32" s="14" t="n">
        <f aca="false">IF(A32&gt;$B$10,0,$B$4*(1+$B$7)^(A32-1))</f>
        <v>0</v>
      </c>
      <c r="C32" s="14" t="n">
        <f aca="false">B32*12</f>
        <v>0</v>
      </c>
      <c r="D32" s="14" t="n">
        <f aca="false">F31</f>
        <v>0</v>
      </c>
      <c r="E32" s="14" t="n">
        <f aca="false">F32-D32-C32</f>
        <v>0</v>
      </c>
      <c r="F32" s="14" t="n">
        <f aca="false">IF(A32&gt;$B$10,0,D32*(1+$B$9)^12+IF($B$9=0,B32*12,B32*(((1+$B$9)^12-1)/$B$9)*(1+$B$9)))</f>
        <v>0</v>
      </c>
    </row>
    <row r="33" customFormat="false" ht="15" hidden="false" customHeight="false" outlineLevel="0" collapsed="false">
      <c r="A33" s="13" t="n">
        <v>18</v>
      </c>
      <c r="B33" s="14" t="n">
        <f aca="false">IF(A33&gt;$B$10,0,$B$4*(1+$B$7)^(A33-1))</f>
        <v>0</v>
      </c>
      <c r="C33" s="14" t="n">
        <f aca="false">B33*12</f>
        <v>0</v>
      </c>
      <c r="D33" s="14" t="n">
        <f aca="false">F32</f>
        <v>0</v>
      </c>
      <c r="E33" s="14" t="n">
        <f aca="false">F33-D33-C33</f>
        <v>0</v>
      </c>
      <c r="F33" s="14" t="n">
        <f aca="false">IF(A33&gt;$B$10,0,D33*(1+$B$9)^12+IF($B$9=0,B33*12,B33*(((1+$B$9)^12-1)/$B$9)*(1+$B$9)))</f>
        <v>0</v>
      </c>
    </row>
    <row r="34" customFormat="false" ht="15" hidden="false" customHeight="false" outlineLevel="0" collapsed="false">
      <c r="A34" s="13" t="n">
        <v>19</v>
      </c>
      <c r="B34" s="14" t="n">
        <f aca="false">IF(A34&gt;$B$10,0,$B$4*(1+$B$7)^(A34-1))</f>
        <v>0</v>
      </c>
      <c r="C34" s="14" t="n">
        <f aca="false">B34*12</f>
        <v>0</v>
      </c>
      <c r="D34" s="14" t="n">
        <f aca="false">F33</f>
        <v>0</v>
      </c>
      <c r="E34" s="14" t="n">
        <f aca="false">F34-D34-C34</f>
        <v>0</v>
      </c>
      <c r="F34" s="14" t="n">
        <f aca="false">IF(A34&gt;$B$10,0,D34*(1+$B$9)^12+IF($B$9=0,B34*12,B34*(((1+$B$9)^12-1)/$B$9)*(1+$B$9)))</f>
        <v>0</v>
      </c>
    </row>
    <row r="35" customFormat="false" ht="15" hidden="false" customHeight="false" outlineLevel="0" collapsed="false">
      <c r="A35" s="13" t="n">
        <v>20</v>
      </c>
      <c r="B35" s="14" t="n">
        <f aca="false">IF(A35&gt;$B$10,0,$B$4*(1+$B$7)^(A35-1))</f>
        <v>0</v>
      </c>
      <c r="C35" s="14" t="n">
        <f aca="false">B35*12</f>
        <v>0</v>
      </c>
      <c r="D35" s="14" t="n">
        <f aca="false">F34</f>
        <v>0</v>
      </c>
      <c r="E35" s="14" t="n">
        <f aca="false">F35-D35-C35</f>
        <v>0</v>
      </c>
      <c r="F35" s="14" t="n">
        <f aca="false">IF(A35&gt;$B$10,0,D35*(1+$B$9)^12+IF($B$9=0,B35*12,B35*(((1+$B$9)^12-1)/$B$9)*(1+$B$9)))</f>
        <v>0</v>
      </c>
    </row>
    <row r="36" customFormat="false" ht="15" hidden="false" customHeight="false" outlineLevel="0" collapsed="false">
      <c r="A36" s="13" t="n">
        <v>21</v>
      </c>
      <c r="B36" s="14" t="n">
        <f aca="false">IF(A36&gt;$B$10,0,$B$4*(1+$B$7)^(A36-1))</f>
        <v>0</v>
      </c>
      <c r="C36" s="14" t="n">
        <f aca="false">B36*12</f>
        <v>0</v>
      </c>
      <c r="D36" s="14" t="n">
        <f aca="false">F35</f>
        <v>0</v>
      </c>
      <c r="E36" s="14" t="n">
        <f aca="false">F36-D36-C36</f>
        <v>0</v>
      </c>
      <c r="F36" s="14" t="n">
        <f aca="false">IF(A36&gt;$B$10,0,D36*(1+$B$9)^12+IF($B$9=0,B36*12,B36*(((1+$B$9)^12-1)/$B$9)*(1+$B$9)))</f>
        <v>0</v>
      </c>
    </row>
    <row r="37" customFormat="false" ht="15" hidden="false" customHeight="false" outlineLevel="0" collapsed="false">
      <c r="A37" s="13" t="n">
        <v>22</v>
      </c>
      <c r="B37" s="14" t="n">
        <f aca="false">IF(A37&gt;$B$10,0,$B$4*(1+$B$7)^(A37-1))</f>
        <v>0</v>
      </c>
      <c r="C37" s="14" t="n">
        <f aca="false">B37*12</f>
        <v>0</v>
      </c>
      <c r="D37" s="14" t="n">
        <f aca="false">F36</f>
        <v>0</v>
      </c>
      <c r="E37" s="14" t="n">
        <f aca="false">F37-D37-C37</f>
        <v>0</v>
      </c>
      <c r="F37" s="14" t="n">
        <f aca="false">IF(A37&gt;$B$10,0,D37*(1+$B$9)^12+IF($B$9=0,B37*12,B37*(((1+$B$9)^12-1)/$B$9)*(1+$B$9)))</f>
        <v>0</v>
      </c>
    </row>
    <row r="38" customFormat="false" ht="15" hidden="false" customHeight="false" outlineLevel="0" collapsed="false">
      <c r="A38" s="13" t="n">
        <v>23</v>
      </c>
      <c r="B38" s="14" t="n">
        <f aca="false">IF(A38&gt;$B$10,0,$B$4*(1+$B$7)^(A38-1))</f>
        <v>0</v>
      </c>
      <c r="C38" s="14" t="n">
        <f aca="false">B38*12</f>
        <v>0</v>
      </c>
      <c r="D38" s="14" t="n">
        <f aca="false">F37</f>
        <v>0</v>
      </c>
      <c r="E38" s="14" t="n">
        <f aca="false">F38-D38-C38</f>
        <v>0</v>
      </c>
      <c r="F38" s="14" t="n">
        <f aca="false">IF(A38&gt;$B$10,0,D38*(1+$B$9)^12+IF($B$9=0,B38*12,B38*(((1+$B$9)^12-1)/$B$9)*(1+$B$9)))</f>
        <v>0</v>
      </c>
    </row>
    <row r="39" customFormat="false" ht="15" hidden="false" customHeight="false" outlineLevel="0" collapsed="false">
      <c r="A39" s="13" t="n">
        <v>24</v>
      </c>
      <c r="B39" s="14" t="n">
        <f aca="false">IF(A39&gt;$B$10,0,$B$4*(1+$B$7)^(A39-1))</f>
        <v>0</v>
      </c>
      <c r="C39" s="14" t="n">
        <f aca="false">B39*12</f>
        <v>0</v>
      </c>
      <c r="D39" s="14" t="n">
        <f aca="false">F38</f>
        <v>0</v>
      </c>
      <c r="E39" s="14" t="n">
        <f aca="false">F39-D39-C39</f>
        <v>0</v>
      </c>
      <c r="F39" s="14" t="n">
        <f aca="false">IF(A39&gt;$B$10,0,D39*(1+$B$9)^12+IF($B$9=0,B39*12,B39*(((1+$B$9)^12-1)/$B$9)*(1+$B$9)))</f>
        <v>0</v>
      </c>
    </row>
    <row r="40" customFormat="false" ht="15" hidden="false" customHeight="false" outlineLevel="0" collapsed="false">
      <c r="A40" s="13" t="n">
        <v>25</v>
      </c>
      <c r="B40" s="14" t="n">
        <f aca="false">IF(A40&gt;$B$10,0,$B$4*(1+$B$7)^(A40-1))</f>
        <v>0</v>
      </c>
      <c r="C40" s="14" t="n">
        <f aca="false">B40*12</f>
        <v>0</v>
      </c>
      <c r="D40" s="14" t="n">
        <f aca="false">F39</f>
        <v>0</v>
      </c>
      <c r="E40" s="14" t="n">
        <f aca="false">F40-D40-C40</f>
        <v>0</v>
      </c>
      <c r="F40" s="14" t="n">
        <f aca="false">IF(A40&gt;$B$10,0,D40*(1+$B$9)^12+IF($B$9=0,B40*12,B40*(((1+$B$9)^12-1)/$B$9)*(1+$B$9)))</f>
        <v>0</v>
      </c>
    </row>
    <row r="41" customFormat="false" ht="15" hidden="false" customHeight="false" outlineLevel="0" collapsed="false">
      <c r="A41" s="13" t="n">
        <v>26</v>
      </c>
      <c r="B41" s="14" t="n">
        <f aca="false">IF(A41&gt;$B$10,0,$B$4*(1+$B$7)^(A41-1))</f>
        <v>0</v>
      </c>
      <c r="C41" s="14" t="n">
        <f aca="false">B41*12</f>
        <v>0</v>
      </c>
      <c r="D41" s="14" t="n">
        <f aca="false">F40</f>
        <v>0</v>
      </c>
      <c r="E41" s="14" t="n">
        <f aca="false">F41-D41-C41</f>
        <v>0</v>
      </c>
      <c r="F41" s="14" t="n">
        <f aca="false">IF(A41&gt;$B$10,0,D41*(1+$B$9)^12+IF($B$9=0,B41*12,B41*(((1+$B$9)^12-1)/$B$9)*(1+$B$9)))</f>
        <v>0</v>
      </c>
    </row>
    <row r="42" customFormat="false" ht="15" hidden="false" customHeight="false" outlineLevel="0" collapsed="false">
      <c r="A42" s="13" t="n">
        <v>27</v>
      </c>
      <c r="B42" s="14" t="n">
        <f aca="false">IF(A42&gt;$B$10,0,$B$4*(1+$B$7)^(A42-1))</f>
        <v>0</v>
      </c>
      <c r="C42" s="14" t="n">
        <f aca="false">B42*12</f>
        <v>0</v>
      </c>
      <c r="D42" s="14" t="n">
        <f aca="false">F41</f>
        <v>0</v>
      </c>
      <c r="E42" s="14" t="n">
        <f aca="false">F42-D42-C42</f>
        <v>0</v>
      </c>
      <c r="F42" s="14" t="n">
        <f aca="false">IF(A42&gt;$B$10,0,D42*(1+$B$9)^12+IF($B$9=0,B42*12,B42*(((1+$B$9)^12-1)/$B$9)*(1+$B$9)))</f>
        <v>0</v>
      </c>
    </row>
    <row r="43" customFormat="false" ht="15" hidden="false" customHeight="false" outlineLevel="0" collapsed="false">
      <c r="A43" s="13" t="n">
        <v>28</v>
      </c>
      <c r="B43" s="14" t="n">
        <f aca="false">IF(A43&gt;$B$10,0,$B$4*(1+$B$7)^(A43-1))</f>
        <v>0</v>
      </c>
      <c r="C43" s="14" t="n">
        <f aca="false">B43*12</f>
        <v>0</v>
      </c>
      <c r="D43" s="14" t="n">
        <f aca="false">F42</f>
        <v>0</v>
      </c>
      <c r="E43" s="14" t="n">
        <f aca="false">F43-D43-C43</f>
        <v>0</v>
      </c>
      <c r="F43" s="14" t="n">
        <f aca="false">IF(A43&gt;$B$10,0,D43*(1+$B$9)^12+IF($B$9=0,B43*12,B43*(((1+$B$9)^12-1)/$B$9)*(1+$B$9)))</f>
        <v>0</v>
      </c>
    </row>
    <row r="44" customFormat="false" ht="15" hidden="false" customHeight="false" outlineLevel="0" collapsed="false">
      <c r="A44" s="13" t="n">
        <v>29</v>
      </c>
      <c r="B44" s="14" t="n">
        <f aca="false">IF(A44&gt;$B$10,0,$B$4*(1+$B$7)^(A44-1))</f>
        <v>0</v>
      </c>
      <c r="C44" s="14" t="n">
        <f aca="false">B44*12</f>
        <v>0</v>
      </c>
      <c r="D44" s="14" t="n">
        <f aca="false">F43</f>
        <v>0</v>
      </c>
      <c r="E44" s="14" t="n">
        <f aca="false">F44-D44-C44</f>
        <v>0</v>
      </c>
      <c r="F44" s="14" t="n">
        <f aca="false">IF(A44&gt;$B$10,0,D44*(1+$B$9)^12+IF($B$9=0,B44*12,B44*(((1+$B$9)^12-1)/$B$9)*(1+$B$9)))</f>
        <v>0</v>
      </c>
    </row>
    <row r="45" customFormat="false" ht="15" hidden="false" customHeight="false" outlineLevel="0" collapsed="false">
      <c r="A45" s="13" t="n">
        <v>30</v>
      </c>
      <c r="B45" s="14" t="n">
        <f aca="false">IF(A45&gt;$B$10,0,$B$4*(1+$B$7)^(A45-1))</f>
        <v>0</v>
      </c>
      <c r="C45" s="14" t="n">
        <f aca="false">B45*12</f>
        <v>0</v>
      </c>
      <c r="D45" s="14" t="n">
        <f aca="false">F44</f>
        <v>0</v>
      </c>
      <c r="E45" s="14" t="n">
        <f aca="false">F45-D45-C45</f>
        <v>0</v>
      </c>
      <c r="F45" s="14" t="n">
        <f aca="false">IF(A45&gt;$B$10,0,D45*(1+$B$9)^12+IF($B$9=0,B45*12,B45*(((1+$B$9)^12-1)/$B$9)*(1+$B$9)))</f>
        <v>0</v>
      </c>
    </row>
    <row r="46" customFormat="false" ht="15" hidden="false" customHeight="false" outlineLevel="0" collapsed="false">
      <c r="A46" s="21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3" customFormat="false" ht="15" hidden="false" customHeight="false" outlineLevel="0" collapsed="false">
      <c r="A3" s="11" t="s">
        <v>69</v>
      </c>
      <c r="B3" s="11" t="s">
        <v>70</v>
      </c>
      <c r="C3" s="11" t="s">
        <v>71</v>
      </c>
      <c r="D3" s="11" t="s">
        <v>72</v>
      </c>
      <c r="E3" s="11" t="s">
        <v>73</v>
      </c>
      <c r="F3" s="11" t="s">
        <v>74</v>
      </c>
    </row>
    <row r="4" customFormat="false" ht="15" hidden="false" customHeight="false" outlineLevel="0" collapsed="false">
      <c r="A4" s="7" t="s">
        <v>75</v>
      </c>
      <c r="B4" s="25" t="n">
        <v>60000</v>
      </c>
      <c r="C4" s="12" t="n">
        <v>60000</v>
      </c>
      <c r="D4" s="14" t="n">
        <f aca="false">C4-B4</f>
        <v>0</v>
      </c>
      <c r="E4" s="20" t="n">
        <f aca="false">IF(B4=0,0,D4/B4)</f>
        <v>0</v>
      </c>
      <c r="F4" s="26" t="str">
        <f aca="false">IF(D4&gt;=0,"Ahead","Behind")</f>
        <v>Ahead</v>
      </c>
    </row>
    <row r="5" customFormat="false" ht="15" hidden="false" customHeight="false" outlineLevel="0" collapsed="false">
      <c r="A5" s="7" t="s">
        <v>76</v>
      </c>
      <c r="B5" s="25" t="n">
        <v>12000</v>
      </c>
      <c r="C5" s="12" t="n">
        <v>13500</v>
      </c>
      <c r="D5" s="14" t="n">
        <f aca="false">C5-B5</f>
        <v>1500</v>
      </c>
      <c r="E5" s="20" t="n">
        <f aca="false">IF(B5=0,0,D5/B5)</f>
        <v>0.125</v>
      </c>
      <c r="F5" s="26" t="str">
        <f aca="false">IF(D5&gt;=0,"Ahead","Behind")</f>
        <v>Ahead</v>
      </c>
    </row>
    <row r="6" customFormat="false" ht="15" hidden="false" customHeight="false" outlineLevel="0" collapsed="false">
      <c r="A6" s="7" t="s">
        <v>77</v>
      </c>
      <c r="B6" s="25" t="n">
        <v>2000</v>
      </c>
      <c r="C6" s="12" t="n">
        <v>1000</v>
      </c>
      <c r="D6" s="14" t="n">
        <f aca="false">C6-B6</f>
        <v>-1000</v>
      </c>
      <c r="E6" s="20" t="n">
        <f aca="false">IF(B6=0,0,D6/B6)</f>
        <v>-0.5</v>
      </c>
      <c r="F6" s="26" t="str">
        <f aca="false">IF(D6&gt;=0,"Ahead","Behind")</f>
        <v>Behind</v>
      </c>
    </row>
    <row r="7" customFormat="false" ht="15" hidden="false" customHeight="false" outlineLevel="0" collapsed="false">
      <c r="A7" s="3" t="s">
        <v>78</v>
      </c>
      <c r="B7" s="27" t="n">
        <f aca="false">SUM(B4:B6)</f>
        <v>74000</v>
      </c>
      <c r="C7" s="27" t="n">
        <f aca="false">SUM(C4:C6)</f>
        <v>74500</v>
      </c>
      <c r="D7" s="27" t="n">
        <f aca="false">SUM(D4:D6)</f>
        <v>500</v>
      </c>
      <c r="E7" s="28" t="n">
        <f aca="false">IF(B7=0,0,D7/B7)</f>
        <v>0.00675675675675676</v>
      </c>
      <c r="F7" s="29"/>
    </row>
    <row r="9" customFormat="false" ht="15" hidden="false" customHeight="false" outlineLevel="0" collapsed="false">
      <c r="A9" s="11" t="s">
        <v>79</v>
      </c>
      <c r="B9" s="11" t="s">
        <v>70</v>
      </c>
      <c r="C9" s="11" t="s">
        <v>71</v>
      </c>
      <c r="D9" s="11" t="s">
        <v>72</v>
      </c>
      <c r="E9" s="11" t="s">
        <v>73</v>
      </c>
      <c r="F9" s="11" t="s">
        <v>74</v>
      </c>
    </row>
    <row r="10" customFormat="false" ht="15" hidden="false" customHeight="false" outlineLevel="0" collapsed="false">
      <c r="A10" s="7" t="s">
        <v>80</v>
      </c>
      <c r="B10" s="25" t="n">
        <v>18000</v>
      </c>
      <c r="C10" s="12" t="n">
        <v>18000</v>
      </c>
      <c r="D10" s="14" t="n">
        <f aca="false">B10-C10</f>
        <v>0</v>
      </c>
      <c r="E10" s="20" t="n">
        <f aca="false">IF(B10=0,0,D10/B10)</f>
        <v>0</v>
      </c>
      <c r="F10" s="26" t="str">
        <f aca="false">IF(D10&gt;=0,"Within budget","Over budget")</f>
        <v>Within budget</v>
      </c>
    </row>
    <row r="11" customFormat="false" ht="15" hidden="false" customHeight="false" outlineLevel="0" collapsed="false">
      <c r="A11" s="7" t="s">
        <v>81</v>
      </c>
      <c r="B11" s="25" t="n">
        <v>8000</v>
      </c>
      <c r="C11" s="12" t="n">
        <v>9200</v>
      </c>
      <c r="D11" s="14" t="n">
        <f aca="false">B11-C11</f>
        <v>-1200</v>
      </c>
      <c r="E11" s="20" t="n">
        <f aca="false">IF(B11=0,0,D11/B11)</f>
        <v>-0.15</v>
      </c>
      <c r="F11" s="26" t="str">
        <f aca="false">IF(D11&gt;=0,"Within budget","Over budget")</f>
        <v>Over budget</v>
      </c>
    </row>
    <row r="12" customFormat="false" ht="15" hidden="false" customHeight="false" outlineLevel="0" collapsed="false">
      <c r="A12" s="7" t="s">
        <v>82</v>
      </c>
      <c r="B12" s="25" t="n">
        <v>3500</v>
      </c>
      <c r="C12" s="12" t="n">
        <v>3900</v>
      </c>
      <c r="D12" s="14" t="n">
        <f aca="false">B12-C12</f>
        <v>-400</v>
      </c>
      <c r="E12" s="20" t="n">
        <f aca="false">IF(B12=0,0,D12/B12)</f>
        <v>-0.114285714285714</v>
      </c>
      <c r="F12" s="26" t="str">
        <f aca="false">IF(D12&gt;=0,"Within budget","Over budget")</f>
        <v>Over budget</v>
      </c>
    </row>
    <row r="13" customFormat="false" ht="15" hidden="false" customHeight="false" outlineLevel="0" collapsed="false">
      <c r="A13" s="7" t="s">
        <v>83</v>
      </c>
      <c r="B13" s="25" t="n">
        <v>4000</v>
      </c>
      <c r="C13" s="12" t="n">
        <v>3600</v>
      </c>
      <c r="D13" s="14" t="n">
        <f aca="false">B13-C13</f>
        <v>400</v>
      </c>
      <c r="E13" s="20" t="n">
        <f aca="false">IF(B13=0,0,D13/B13)</f>
        <v>0.1</v>
      </c>
      <c r="F13" s="26" t="str">
        <f aca="false">IF(D13&gt;=0,"Within budget","Over budget")</f>
        <v>Within budget</v>
      </c>
    </row>
    <row r="14" customFormat="false" ht="15" hidden="false" customHeight="false" outlineLevel="0" collapsed="false">
      <c r="A14" s="7" t="s">
        <v>84</v>
      </c>
      <c r="B14" s="25" t="n">
        <v>3000</v>
      </c>
      <c r="C14" s="12" t="n">
        <v>4200</v>
      </c>
      <c r="D14" s="14" t="n">
        <f aca="false">B14-C14</f>
        <v>-1200</v>
      </c>
      <c r="E14" s="20" t="n">
        <f aca="false">IF(B14=0,0,D14/B14)</f>
        <v>-0.4</v>
      </c>
      <c r="F14" s="26" t="str">
        <f aca="false">IF(D14&gt;=0,"Within budget","Over budget")</f>
        <v>Over budget</v>
      </c>
    </row>
    <row r="15" customFormat="false" ht="15" hidden="false" customHeight="false" outlineLevel="0" collapsed="false">
      <c r="A15" s="7" t="s">
        <v>85</v>
      </c>
      <c r="B15" s="25" t="n">
        <v>1200</v>
      </c>
      <c r="C15" s="12" t="n">
        <v>1200</v>
      </c>
      <c r="D15" s="14" t="n">
        <f aca="false">B15-C15</f>
        <v>0</v>
      </c>
      <c r="E15" s="20" t="n">
        <f aca="false">IF(B15=0,0,D15/B15)</f>
        <v>0</v>
      </c>
      <c r="F15" s="26" t="str">
        <f aca="false">IF(D15&gt;=0,"Within budget","Over budget")</f>
        <v>Within budget</v>
      </c>
    </row>
    <row r="16" customFormat="false" ht="15" hidden="false" customHeight="false" outlineLevel="0" collapsed="false">
      <c r="A16" s="7" t="s">
        <v>86</v>
      </c>
      <c r="B16" s="25" t="n">
        <v>15000</v>
      </c>
      <c r="C16" s="12" t="n">
        <v>15000</v>
      </c>
      <c r="D16" s="14" t="n">
        <f aca="false">B16-C16</f>
        <v>0</v>
      </c>
      <c r="E16" s="20" t="n">
        <f aca="false">IF(B16=0,0,D16/B16)</f>
        <v>0</v>
      </c>
      <c r="F16" s="26" t="str">
        <f aca="false">IF(D16&gt;=0,"Within budget","Over budget")</f>
        <v>Within budget</v>
      </c>
    </row>
    <row r="17" customFormat="false" ht="15" hidden="false" customHeight="false" outlineLevel="0" collapsed="false">
      <c r="A17" s="7" t="s">
        <v>87</v>
      </c>
      <c r="B17" s="25" t="n">
        <v>3000</v>
      </c>
      <c r="C17" s="12" t="n">
        <v>2100</v>
      </c>
      <c r="D17" s="14" t="n">
        <f aca="false">B17-C17</f>
        <v>900</v>
      </c>
      <c r="E17" s="20" t="n">
        <f aca="false">IF(B17=0,0,D17/B17)</f>
        <v>0.3</v>
      </c>
      <c r="F17" s="26" t="str">
        <f aca="false">IF(D17&gt;=0,"Within budget","Over budget")</f>
        <v>Within budget</v>
      </c>
    </row>
    <row r="18" customFormat="false" ht="15" hidden="false" customHeight="false" outlineLevel="0" collapsed="false">
      <c r="A18" s="3" t="s">
        <v>88</v>
      </c>
      <c r="B18" s="27" t="n">
        <f aca="false">SUM(B10:B17)</f>
        <v>55700</v>
      </c>
      <c r="C18" s="27" t="n">
        <f aca="false">SUM(C10:C17)</f>
        <v>57200</v>
      </c>
      <c r="D18" s="27" t="n">
        <f aca="false">SUM(D10:D17)</f>
        <v>-1500</v>
      </c>
      <c r="E18" s="28" t="n">
        <f aca="false">IF(B18=0,0,D18/B18)</f>
        <v>-0.0269299820466786</v>
      </c>
      <c r="F18" s="29"/>
    </row>
    <row r="20" customFormat="false" ht="15" hidden="false" customHeight="false" outlineLevel="0" collapsed="false">
      <c r="A20" s="11" t="s">
        <v>89</v>
      </c>
      <c r="B20" s="11" t="s">
        <v>70</v>
      </c>
      <c r="C20" s="11" t="s">
        <v>71</v>
      </c>
      <c r="D20" s="11" t="s">
        <v>90</v>
      </c>
      <c r="E20" s="11"/>
      <c r="F20" s="11"/>
    </row>
    <row r="21" customFormat="false" ht="15" hidden="false" customHeight="false" outlineLevel="0" collapsed="false">
      <c r="A21" s="30" t="s">
        <v>91</v>
      </c>
      <c r="B21" s="19" t="n">
        <f aca="false">B7-B18</f>
        <v>18300</v>
      </c>
      <c r="C21" s="19" t="n">
        <f aca="false">C7-C18</f>
        <v>17300</v>
      </c>
      <c r="D21" s="19" t="n">
        <f aca="false">C21-B21</f>
        <v>-1000</v>
      </c>
    </row>
    <row r="22" customFormat="false" ht="15" hidden="false" customHeight="false" outlineLevel="0" collapsed="false">
      <c r="A22" s="7" t="s">
        <v>92</v>
      </c>
      <c r="B22" s="20" t="n">
        <f aca="false">IF(B7=0,0,B21/B7)</f>
        <v>0.247297297297297</v>
      </c>
      <c r="C22" s="20" t="n">
        <f aca="false">IF(C7=0,0,C21/C7)</f>
        <v>0.232214765100671</v>
      </c>
      <c r="D22" s="20" t="n">
        <f aca="false">C22-B22</f>
        <v>-0.0150825321966262</v>
      </c>
    </row>
    <row r="24" customFormat="false" ht="15" hidden="false" customHeight="false" outlineLevel="0" collapsed="false">
      <c r="A24" s="21" t="s">
        <v>93</v>
      </c>
    </row>
  </sheetData>
  <conditionalFormatting sqref="D4:E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D10:E17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2026-09-21T14:57:57Z</dcterms:created>
  <dc:creator>openpyxl</dc:creator>
  <dc:description/>
  <dc:language>en-US</dc:language>
  <cp:lastModifiedBy/>
  <dcterms:modified xsi:type="dcterms:W3CDTF">2026-09-21T14:57:59Z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